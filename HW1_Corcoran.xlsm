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49bec91a8651c45/Documents/Virginia Tech/2 - Sophomore Summer/Intro to Business Analytics Modeling/"/>
    </mc:Choice>
  </mc:AlternateContent>
  <xr:revisionPtr revIDLastSave="305" documentId="11_10B152E45E69FB18506958AA2563F66767C50E34" xr6:coauthVersionLast="45" xr6:coauthVersionMax="45" xr10:uidLastSave="{9AE37085-D0C8-4990-8616-05F8E2BB5235}"/>
  <bookViews>
    <workbookView xWindow="-110" yWindow="-110" windowWidth="22780" windowHeight="14660" activeTab="1" xr2:uid="{00000000-000D-0000-FFFF-FFFF00000000}"/>
  </bookViews>
  <sheets>
    <sheet name="Data Entry" sheetId="1" r:id="rId1"/>
    <sheet name="Benefits Comparison" sheetId="2" r:id="rId2"/>
    <sheet name="Work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2" l="1"/>
  <c r="D24" i="1"/>
  <c r="D18" i="1"/>
  <c r="D19" i="1"/>
  <c r="D20" i="1"/>
  <c r="D17" i="1"/>
  <c r="B14" i="3" l="1"/>
  <c r="C14" i="3" s="1"/>
  <c r="B1" i="3" l="1"/>
  <c r="C10" i="2"/>
  <c r="C9" i="2"/>
  <c r="C22" i="1"/>
  <c r="G3" i="2" s="1"/>
  <c r="B10" i="3" s="1"/>
  <c r="B19" i="3" l="1"/>
  <c r="C18" i="2"/>
  <c r="B21" i="3"/>
  <c r="G10" i="2"/>
  <c r="B2" i="3"/>
  <c r="G9" i="2"/>
  <c r="C11" i="2"/>
  <c r="C19" i="3" l="1"/>
  <c r="C17" i="2"/>
  <c r="B20" i="3"/>
  <c r="C15" i="2"/>
  <c r="B11" i="3"/>
  <c r="B6" i="3"/>
  <c r="G15" i="2" s="1"/>
  <c r="C19" i="2" l="1"/>
  <c r="B7" i="3"/>
  <c r="B15" i="3" s="1"/>
  <c r="B16" i="3" s="1"/>
  <c r="G17" i="2" l="1"/>
</calcChain>
</file>

<file path=xl/sharedStrings.xml><?xml version="1.0" encoding="utf-8"?>
<sst xmlns="http://schemas.openxmlformats.org/spreadsheetml/2006/main" count="63" uniqueCount="52">
  <si>
    <t>DATA ENTRY</t>
  </si>
  <si>
    <t>Personal Information</t>
  </si>
  <si>
    <t>Employee Name</t>
  </si>
  <si>
    <t>SSN</t>
  </si>
  <si>
    <t>Status</t>
  </si>
  <si>
    <t>Gender</t>
  </si>
  <si>
    <t>Spouse Gender</t>
  </si>
  <si>
    <t>Dates</t>
  </si>
  <si>
    <t>Birth</t>
  </si>
  <si>
    <t>Hire</t>
  </si>
  <si>
    <t>Retire</t>
  </si>
  <si>
    <t>Spouse Name</t>
  </si>
  <si>
    <t>Spouse Birth</t>
  </si>
  <si>
    <t>Earnings History</t>
  </si>
  <si>
    <t>Avg(5-year)salary</t>
  </si>
  <si>
    <t>Base Salary for Retirement Calculations</t>
  </si>
  <si>
    <t>Retire Early</t>
  </si>
  <si>
    <t>Age @ Retirement</t>
  </si>
  <si>
    <t>…Employee</t>
  </si>
  <si>
    <t>…Spouse</t>
  </si>
  <si>
    <t>Yrs of service</t>
  </si>
  <si>
    <t>Months early</t>
  </si>
  <si>
    <t>Monthly Benefit</t>
  </si>
  <si>
    <t>Estimated PV</t>
  </si>
  <si>
    <t>Retire at 65</t>
  </si>
  <si>
    <t>Employee's highest, five-consecutive years' earnings:</t>
  </si>
  <si>
    <t>Jane Doe</t>
  </si>
  <si>
    <t>F</t>
  </si>
  <si>
    <t>Joe Doe</t>
  </si>
  <si>
    <t>M</t>
  </si>
  <si>
    <t>Avg 5-year salary:</t>
  </si>
  <si>
    <t>growth rate:</t>
  </si>
  <si>
    <t>BENEFITS COMPARISON</t>
  </si>
  <si>
    <t>*Note:  Both Estimated PVs are as of the early retirement date.</t>
  </si>
  <si>
    <t>Bonus</t>
  </si>
  <si>
    <t>Total</t>
  </si>
  <si>
    <t>Current or Predicted Interest Rate</t>
  </si>
  <si>
    <t>(max of 30)</t>
  </si>
  <si>
    <t>xxx-xx-xxxx</t>
  </si>
  <si>
    <t>Date for 65 year Retirement</t>
  </si>
  <si>
    <t>Monthly Benefit (Early)</t>
  </si>
  <si>
    <t>Monthly Benefit (65)</t>
  </si>
  <si>
    <t>ABS</t>
  </si>
  <si>
    <t>Benefit</t>
  </si>
  <si>
    <t>Years Until 65</t>
  </si>
  <si>
    <t>Base salary</t>
  </si>
  <si>
    <t>Estimated PV (65)</t>
  </si>
  <si>
    <t>Years Annuity</t>
  </si>
  <si>
    <t>PV at 65</t>
  </si>
  <si>
    <t>Total PV</t>
  </si>
  <si>
    <t>Estimate PV (Early)</t>
  </si>
  <si>
    <t>Salaried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</si>
</sst>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mmmm\ d\,\ yyyy"/>
    <numFmt numFmtId="166" formatCode="000\-00\-0000"/>
    <numFmt numFmtId="167" formatCode="0.0000"/>
  </numFmts>
  <fonts count="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b/>
      <i/>
      <u/>
      <sz val="10"/>
      <name val="Arial"/>
      <family val="2"/>
    </font>
    <font>
      <b/>
      <u val="double"/>
      <sz val="10"/>
      <name val="Arial"/>
      <family val="2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6" fillId="0" borderId="0" xfId="0" applyFont="1"/>
    <xf numFmtId="0" fontId="6" fillId="0" borderId="0" xfId="0" applyFont="1" applyFill="1" applyBorder="1"/>
    <xf numFmtId="0" fontId="6" fillId="0" borderId="0" xfId="0" applyFont="1" applyFill="1" applyBorder="1" applyAlignment="1">
      <alignment horizontal="left"/>
    </xf>
    <xf numFmtId="0" fontId="6" fillId="0" borderId="1" xfId="0" applyFont="1" applyFill="1" applyBorder="1"/>
    <xf numFmtId="14" fontId="6" fillId="0" borderId="0" xfId="0" applyNumberFormat="1" applyFont="1" applyFill="1" applyBorder="1"/>
    <xf numFmtId="0" fontId="6" fillId="0" borderId="2" xfId="0" applyFont="1" applyFill="1" applyBorder="1"/>
    <xf numFmtId="0" fontId="2" fillId="0" borderId="1" xfId="0" applyFont="1" applyFill="1" applyBorder="1"/>
    <xf numFmtId="165" fontId="6" fillId="0" borderId="0" xfId="0" applyNumberFormat="1" applyFont="1" applyFill="1" applyBorder="1"/>
    <xf numFmtId="0" fontId="4" fillId="0" borderId="2" xfId="0" applyFont="1" applyFill="1" applyBorder="1" applyAlignment="1">
      <alignment horizontal="right"/>
    </xf>
    <xf numFmtId="0" fontId="2" fillId="0" borderId="2" xfId="0" applyFont="1" applyFill="1" applyBorder="1" applyAlignment="1">
      <alignment horizontal="right"/>
    </xf>
    <xf numFmtId="14" fontId="6" fillId="0" borderId="3" xfId="0" applyNumberFormat="1" applyFont="1" applyFill="1" applyBorder="1"/>
    <xf numFmtId="0" fontId="4" fillId="0" borderId="0" xfId="0" applyFont="1" applyFill="1" applyBorder="1"/>
    <xf numFmtId="0" fontId="4" fillId="0" borderId="1" xfId="0" applyFont="1" applyFill="1" applyBorder="1"/>
    <xf numFmtId="0" fontId="2" fillId="0" borderId="0" xfId="0" applyFont="1" applyFill="1" applyBorder="1"/>
    <xf numFmtId="164" fontId="6" fillId="0" borderId="0" xfId="1" applyNumberFormat="1" applyFont="1" applyFill="1" applyBorder="1"/>
    <xf numFmtId="10" fontId="6" fillId="0" borderId="0" xfId="2" applyNumberFormat="1" applyFont="1" applyFill="1" applyBorder="1"/>
    <xf numFmtId="164" fontId="6" fillId="0" borderId="4" xfId="1" applyNumberFormat="1" applyFont="1" applyFill="1" applyBorder="1"/>
    <xf numFmtId="0" fontId="6" fillId="0" borderId="5" xfId="0" applyFont="1" applyFill="1" applyBorder="1"/>
    <xf numFmtId="0" fontId="6" fillId="0" borderId="6" xfId="0" applyFont="1" applyFill="1" applyBorder="1"/>
    <xf numFmtId="10" fontId="6" fillId="0" borderId="6" xfId="0" applyNumberFormat="1" applyFont="1" applyFill="1" applyBorder="1"/>
    <xf numFmtId="0" fontId="6" fillId="0" borderId="7" xfId="0" applyFont="1" applyFill="1" applyBorder="1"/>
    <xf numFmtId="0" fontId="6" fillId="0" borderId="0" xfId="0" applyFont="1" applyFill="1" applyBorder="1" applyAlignment="1">
      <alignment horizontal="right"/>
    </xf>
    <xf numFmtId="0" fontId="5" fillId="0" borderId="0" xfId="0" applyFont="1" applyFill="1" applyBorder="1" applyAlignment="1">
      <alignment horizontal="right"/>
    </xf>
    <xf numFmtId="2" fontId="6" fillId="0" borderId="0" xfId="0" applyNumberFormat="1" applyFont="1" applyFill="1" applyBorder="1" applyAlignment="1">
      <alignment horizontal="right"/>
    </xf>
    <xf numFmtId="0" fontId="5" fillId="0" borderId="0" xfId="0" applyFont="1" applyFill="1" applyBorder="1"/>
    <xf numFmtId="6" fontId="6" fillId="0" borderId="0" xfId="0" applyNumberFormat="1" applyFont="1" applyFill="1" applyBorder="1"/>
    <xf numFmtId="0" fontId="8" fillId="0" borderId="0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0" fontId="6" fillId="0" borderId="8" xfId="0" applyFont="1" applyFill="1" applyBorder="1"/>
    <xf numFmtId="0" fontId="6" fillId="0" borderId="9" xfId="0" applyFont="1" applyFill="1" applyBorder="1"/>
    <xf numFmtId="0" fontId="6" fillId="0" borderId="10" xfId="0" applyFont="1" applyFill="1" applyBorder="1"/>
    <xf numFmtId="0" fontId="8" fillId="0" borderId="9" xfId="0" applyFont="1" applyFill="1" applyBorder="1"/>
    <xf numFmtId="0" fontId="4" fillId="0" borderId="9" xfId="0" applyFont="1" applyFill="1" applyBorder="1"/>
    <xf numFmtId="0" fontId="2" fillId="0" borderId="9" xfId="0" applyFont="1" applyFill="1" applyBorder="1"/>
    <xf numFmtId="0" fontId="6" fillId="0" borderId="11" xfId="0" applyFont="1" applyFill="1" applyBorder="1"/>
    <xf numFmtId="0" fontId="6" fillId="0" borderId="4" xfId="0" applyFont="1" applyFill="1" applyBorder="1"/>
    <xf numFmtId="0" fontId="6" fillId="0" borderId="12" xfId="0" applyFont="1" applyFill="1" applyBorder="1"/>
    <xf numFmtId="0" fontId="1" fillId="0" borderId="9" xfId="0" applyFont="1" applyFill="1" applyBorder="1"/>
    <xf numFmtId="0" fontId="1" fillId="0" borderId="0" xfId="0" applyFont="1" applyFill="1" applyBorder="1"/>
    <xf numFmtId="9" fontId="6" fillId="0" borderId="3" xfId="0" applyNumberFormat="1" applyFont="1" applyFill="1" applyBorder="1"/>
    <xf numFmtId="10" fontId="2" fillId="0" borderId="0" xfId="2" applyNumberFormat="1" applyFont="1" applyFill="1" applyBorder="1"/>
    <xf numFmtId="10" fontId="6" fillId="0" borderId="19" xfId="0" applyNumberFormat="1" applyFont="1" applyFill="1" applyBorder="1"/>
    <xf numFmtId="164" fontId="6" fillId="0" borderId="18" xfId="1" applyNumberFormat="1" applyFont="1" applyFill="1" applyBorder="1"/>
    <xf numFmtId="10" fontId="6" fillId="0" borderId="18" xfId="2" applyNumberFormat="1" applyFont="1" applyFill="1" applyBorder="1"/>
    <xf numFmtId="2" fontId="0" fillId="0" borderId="19" xfId="0" applyNumberFormat="1" applyFill="1" applyBorder="1"/>
    <xf numFmtId="2" fontId="6" fillId="0" borderId="20" xfId="0" applyNumberFormat="1" applyFont="1" applyFill="1" applyBorder="1"/>
    <xf numFmtId="2" fontId="6" fillId="0" borderId="21" xfId="0" applyNumberFormat="1" applyFont="1" applyFill="1" applyBorder="1"/>
    <xf numFmtId="2" fontId="6" fillId="0" borderId="19" xfId="0" applyNumberFormat="1" applyFont="1" applyFill="1" applyBorder="1" applyAlignment="1">
      <alignment horizontal="right"/>
    </xf>
    <xf numFmtId="2" fontId="6" fillId="0" borderId="20" xfId="0" applyNumberFormat="1" applyFont="1" applyFill="1" applyBorder="1" applyAlignment="1">
      <alignment horizontal="right"/>
    </xf>
    <xf numFmtId="2" fontId="6" fillId="0" borderId="21" xfId="0" applyNumberFormat="1" applyFont="1" applyFill="1" applyBorder="1" applyAlignment="1">
      <alignment horizontal="right"/>
    </xf>
    <xf numFmtId="0" fontId="1" fillId="0" borderId="10" xfId="0" applyFont="1" applyFill="1" applyBorder="1"/>
    <xf numFmtId="164" fontId="6" fillId="0" borderId="19" xfId="1" applyNumberFormat="1" applyFont="1" applyFill="1" applyBorder="1"/>
    <xf numFmtId="164" fontId="6" fillId="0" borderId="20" xfId="1" applyNumberFormat="1" applyFont="1" applyFill="1" applyBorder="1"/>
    <xf numFmtId="164" fontId="6" fillId="0" borderId="21" xfId="0" applyNumberFormat="1" applyFont="1" applyFill="1" applyBorder="1"/>
    <xf numFmtId="164" fontId="6" fillId="0" borderId="18" xfId="1" applyNumberFormat="1" applyFont="1" applyFill="1" applyBorder="1" applyAlignment="1">
      <alignment horizontal="right"/>
    </xf>
    <xf numFmtId="166" fontId="1" fillId="0" borderId="0" xfId="0" applyNumberFormat="1" applyFont="1" applyFill="1" applyBorder="1"/>
    <xf numFmtId="14" fontId="1" fillId="0" borderId="0" xfId="0" applyNumberFormat="1" applyFont="1" applyFill="1" applyBorder="1"/>
    <xf numFmtId="14" fontId="0" fillId="0" borderId="0" xfId="0" applyNumberFormat="1"/>
    <xf numFmtId="2" fontId="6" fillId="0" borderId="0" xfId="0" applyNumberFormat="1" applyFont="1" applyFill="1" applyBorder="1"/>
    <xf numFmtId="0" fontId="0" fillId="0" borderId="6" xfId="0" applyBorder="1"/>
    <xf numFmtId="0" fontId="0" fillId="0" borderId="0" xfId="0" applyBorder="1"/>
    <xf numFmtId="2" fontId="0" fillId="0" borderId="0" xfId="0" applyNumberFormat="1"/>
    <xf numFmtId="164" fontId="0" fillId="0" borderId="0" xfId="0" applyNumberFormat="1"/>
    <xf numFmtId="164" fontId="0" fillId="0" borderId="0" xfId="0" quotePrefix="1" applyNumberFormat="1"/>
    <xf numFmtId="167" fontId="6" fillId="0" borderId="0" xfId="0" applyNumberFormat="1" applyFont="1" applyFill="1" applyBorder="1"/>
    <xf numFmtId="0" fontId="0" fillId="0" borderId="0" xfId="0" applyFont="1" applyFill="1" applyBorder="1"/>
    <xf numFmtId="0" fontId="1" fillId="0" borderId="6" xfId="0" applyFont="1" applyBorder="1"/>
    <xf numFmtId="8" fontId="0" fillId="0" borderId="0" xfId="0" applyNumberFormat="1"/>
    <xf numFmtId="0" fontId="3" fillId="0" borderId="13" xfId="0" applyFont="1" applyFill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3" fillId="0" borderId="15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6" fillId="0" borderId="0" xfId="0" applyFont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K28"/>
  <sheetViews>
    <sheetView workbookViewId="0">
      <selection activeCell="G7" sqref="G7"/>
    </sheetView>
  </sheetViews>
  <sheetFormatPr defaultColWidth="9.08984375" defaultRowHeight="12.5" x14ac:dyDescent="0.25"/>
  <cols>
    <col min="1" max="2" width="9.08984375" style="1"/>
    <col min="3" max="3" width="11.08984375" style="1" customWidth="1"/>
    <col min="4" max="4" width="12" style="1" bestFit="1" customWidth="1"/>
    <col min="5" max="5" width="4.90625" style="1" customWidth="1"/>
    <col min="6" max="6" width="6.453125" style="1" customWidth="1"/>
    <col min="7" max="7" width="10.6328125" style="1" customWidth="1"/>
    <col min="8" max="8" width="4.36328125" style="1" customWidth="1"/>
    <col min="9" max="16384" width="9.08984375" style="1"/>
  </cols>
  <sheetData>
    <row r="1" spans="1:11" ht="15.75" customHeight="1" x14ac:dyDescent="0.35">
      <c r="A1" s="70" t="s">
        <v>0</v>
      </c>
      <c r="B1" s="71"/>
      <c r="C1" s="71"/>
      <c r="D1" s="71"/>
      <c r="E1" s="71"/>
      <c r="F1" s="71"/>
      <c r="G1" s="71"/>
      <c r="H1" s="71"/>
      <c r="I1" s="72"/>
      <c r="K1" s="80"/>
    </row>
    <row r="2" spans="1:11" ht="15.75" customHeight="1" x14ac:dyDescent="0.3">
      <c r="A2" s="73" t="s">
        <v>1</v>
      </c>
      <c r="B2" s="74"/>
      <c r="C2" s="74"/>
      <c r="D2" s="74"/>
      <c r="E2" s="74"/>
      <c r="F2" s="74"/>
      <c r="G2" s="74"/>
      <c r="H2" s="74"/>
      <c r="I2" s="75"/>
      <c r="K2" s="80"/>
    </row>
    <row r="3" spans="1:11" x14ac:dyDescent="0.25">
      <c r="A3" s="4"/>
      <c r="B3" s="2"/>
      <c r="C3" s="2"/>
      <c r="D3" s="2"/>
      <c r="E3" s="2"/>
      <c r="F3" s="2"/>
      <c r="G3" s="5"/>
      <c r="H3" s="2"/>
      <c r="I3" s="6"/>
      <c r="K3" s="80"/>
    </row>
    <row r="4" spans="1:11" ht="13" x14ac:dyDescent="0.3">
      <c r="A4" s="7" t="s">
        <v>2</v>
      </c>
      <c r="B4" s="2"/>
      <c r="C4" s="2" t="s">
        <v>26</v>
      </c>
      <c r="D4" s="2"/>
      <c r="E4" s="2"/>
      <c r="F4" s="2"/>
      <c r="G4" s="8"/>
      <c r="H4" s="2"/>
      <c r="I4" s="9" t="s">
        <v>7</v>
      </c>
      <c r="K4" s="80"/>
    </row>
    <row r="5" spans="1:11" ht="13" x14ac:dyDescent="0.3">
      <c r="A5" s="7" t="s">
        <v>3</v>
      </c>
      <c r="B5" s="2"/>
      <c r="C5" s="57" t="s">
        <v>38</v>
      </c>
      <c r="D5" s="2"/>
      <c r="E5" s="2"/>
      <c r="F5" s="2"/>
      <c r="G5" s="5">
        <v>22193</v>
      </c>
      <c r="H5" s="2"/>
      <c r="I5" s="10" t="s">
        <v>8</v>
      </c>
      <c r="K5" s="80"/>
    </row>
    <row r="6" spans="1:11" ht="13" x14ac:dyDescent="0.3">
      <c r="A6" s="7" t="s">
        <v>4</v>
      </c>
      <c r="B6" s="2"/>
      <c r="C6" s="40" t="s">
        <v>51</v>
      </c>
      <c r="D6" s="2"/>
      <c r="E6" s="2"/>
      <c r="F6" s="2"/>
      <c r="G6" s="58">
        <v>33940</v>
      </c>
      <c r="H6" s="2"/>
      <c r="I6" s="10" t="s">
        <v>9</v>
      </c>
      <c r="K6" s="80"/>
    </row>
    <row r="7" spans="1:11" ht="13" x14ac:dyDescent="0.3">
      <c r="A7" s="7" t="s">
        <v>5</v>
      </c>
      <c r="B7" s="2"/>
      <c r="C7" s="40" t="s">
        <v>27</v>
      </c>
      <c r="D7" s="2"/>
      <c r="E7" s="2"/>
      <c r="F7" s="2"/>
      <c r="G7" s="11">
        <v>44013</v>
      </c>
      <c r="H7" s="2"/>
      <c r="I7" s="10" t="s">
        <v>10</v>
      </c>
      <c r="K7" s="80"/>
    </row>
    <row r="8" spans="1:11" ht="13" x14ac:dyDescent="0.3">
      <c r="A8" s="7" t="s">
        <v>11</v>
      </c>
      <c r="B8" s="2"/>
      <c r="C8" s="2" t="s">
        <v>28</v>
      </c>
      <c r="D8" s="2"/>
      <c r="E8" s="2"/>
      <c r="F8" s="2"/>
      <c r="G8" s="8"/>
      <c r="H8" s="2"/>
      <c r="I8" s="10"/>
      <c r="K8" s="80"/>
    </row>
    <row r="9" spans="1:11" ht="13" x14ac:dyDescent="0.3">
      <c r="A9" s="7" t="s">
        <v>6</v>
      </c>
      <c r="B9" s="2"/>
      <c r="C9" s="40" t="s">
        <v>29</v>
      </c>
      <c r="D9" s="2"/>
      <c r="E9" s="2"/>
      <c r="F9" s="2"/>
      <c r="G9" s="58">
        <v>25687</v>
      </c>
      <c r="H9" s="2"/>
      <c r="I9" s="10" t="s">
        <v>12</v>
      </c>
      <c r="K9" s="80"/>
    </row>
    <row r="10" spans="1:11" x14ac:dyDescent="0.25">
      <c r="A10" s="4"/>
      <c r="B10" s="2"/>
      <c r="C10" s="2"/>
      <c r="D10" s="2"/>
      <c r="E10" s="2"/>
      <c r="F10" s="2"/>
      <c r="G10" s="2"/>
      <c r="H10" s="2"/>
      <c r="I10" s="6"/>
      <c r="K10" s="80"/>
    </row>
    <row r="11" spans="1:11" x14ac:dyDescent="0.25">
      <c r="A11" s="4"/>
      <c r="B11" s="2"/>
      <c r="C11" s="2"/>
      <c r="D11" s="2"/>
      <c r="E11" s="2"/>
      <c r="F11" s="2"/>
      <c r="G11" s="2"/>
      <c r="H11" s="2"/>
      <c r="I11" s="6"/>
      <c r="K11" s="80"/>
    </row>
    <row r="12" spans="1:11" ht="15.75" customHeight="1" x14ac:dyDescent="0.3">
      <c r="A12" s="73" t="s">
        <v>13</v>
      </c>
      <c r="B12" s="74"/>
      <c r="C12" s="74"/>
      <c r="D12" s="74"/>
      <c r="E12" s="74"/>
      <c r="F12" s="74"/>
      <c r="G12" s="74"/>
      <c r="H12" s="74"/>
      <c r="I12" s="75"/>
      <c r="K12" s="80"/>
    </row>
    <row r="13" spans="1:11" ht="13" x14ac:dyDescent="0.3">
      <c r="A13" s="4"/>
      <c r="B13" s="2"/>
      <c r="C13" s="2"/>
      <c r="D13" s="12"/>
      <c r="E13" s="2"/>
      <c r="F13" s="2"/>
      <c r="G13" s="2"/>
      <c r="H13" s="2"/>
      <c r="I13" s="6"/>
      <c r="K13" s="80"/>
    </row>
    <row r="14" spans="1:11" ht="13" x14ac:dyDescent="0.3">
      <c r="A14" s="13" t="s">
        <v>25</v>
      </c>
      <c r="B14" s="2"/>
      <c r="C14" s="2"/>
      <c r="D14" s="2"/>
      <c r="E14" s="2"/>
      <c r="F14" s="2"/>
      <c r="G14" s="2"/>
      <c r="H14" s="2"/>
      <c r="I14" s="6"/>
      <c r="K14" s="80"/>
    </row>
    <row r="15" spans="1:11" x14ac:dyDescent="0.25">
      <c r="A15" s="4"/>
      <c r="B15" s="2"/>
      <c r="C15" s="2"/>
      <c r="D15" s="2"/>
      <c r="E15" s="2"/>
      <c r="F15" s="2"/>
      <c r="G15" s="2"/>
      <c r="H15" s="2"/>
      <c r="I15" s="6"/>
      <c r="K15" s="80"/>
    </row>
    <row r="16" spans="1:11" ht="13.5" thickBot="1" x14ac:dyDescent="0.35">
      <c r="A16" s="4"/>
      <c r="B16" s="14">
        <v>2014</v>
      </c>
      <c r="C16" s="15">
        <v>35000</v>
      </c>
      <c r="D16" s="2"/>
      <c r="E16" s="2"/>
      <c r="F16" s="2"/>
      <c r="G16" s="2"/>
      <c r="H16" s="2"/>
      <c r="I16" s="6"/>
      <c r="K16" s="80"/>
    </row>
    <row r="17" spans="1:11" ht="13.5" thickBot="1" x14ac:dyDescent="0.35">
      <c r="A17" s="4"/>
      <c r="B17" s="14">
        <v>2015</v>
      </c>
      <c r="C17" s="15">
        <v>38000</v>
      </c>
      <c r="D17" s="43">
        <f>(C17-C16)/C16</f>
        <v>8.5714285714285715E-2</v>
      </c>
      <c r="E17" s="2"/>
      <c r="F17" s="2"/>
      <c r="G17" s="2"/>
      <c r="H17" s="5"/>
      <c r="I17" s="6"/>
      <c r="K17" s="80"/>
    </row>
    <row r="18" spans="1:11" ht="13.5" thickBot="1" x14ac:dyDescent="0.35">
      <c r="A18" s="4"/>
      <c r="B18" s="14">
        <v>2016</v>
      </c>
      <c r="C18" s="15">
        <v>41500</v>
      </c>
      <c r="D18" s="43">
        <f t="shared" ref="D18:D20" si="0">(C18-C17)/C17</f>
        <v>9.2105263157894732E-2</v>
      </c>
      <c r="E18" s="2"/>
      <c r="F18" s="2"/>
      <c r="G18" s="2"/>
      <c r="H18" s="2"/>
      <c r="I18" s="6"/>
      <c r="K18" s="80"/>
    </row>
    <row r="19" spans="1:11" ht="13.5" thickBot="1" x14ac:dyDescent="0.35">
      <c r="A19" s="4"/>
      <c r="B19" s="14">
        <v>2017</v>
      </c>
      <c r="C19" s="15">
        <v>44000</v>
      </c>
      <c r="D19" s="43">
        <f t="shared" si="0"/>
        <v>6.0240963855421686E-2</v>
      </c>
      <c r="E19" s="2"/>
      <c r="F19" s="2"/>
      <c r="G19" s="2"/>
      <c r="H19" s="2"/>
      <c r="I19" s="6"/>
      <c r="K19" s="80"/>
    </row>
    <row r="20" spans="1:11" ht="13" x14ac:dyDescent="0.3">
      <c r="A20" s="4"/>
      <c r="B20" s="14">
        <v>2018</v>
      </c>
      <c r="C20" s="17">
        <v>45500</v>
      </c>
      <c r="D20" s="43">
        <f t="shared" si="0"/>
        <v>3.4090909090909088E-2</v>
      </c>
      <c r="E20" s="2"/>
      <c r="F20" s="2"/>
      <c r="G20" s="2"/>
      <c r="H20" s="2"/>
      <c r="I20" s="6"/>
      <c r="K20" s="80"/>
    </row>
    <row r="21" spans="1:11" ht="13" thickBot="1" x14ac:dyDescent="0.3">
      <c r="A21" s="4"/>
      <c r="B21" s="2"/>
      <c r="C21" s="2"/>
      <c r="D21" s="15"/>
      <c r="E21" s="2"/>
      <c r="F21" s="2"/>
      <c r="G21" s="2"/>
      <c r="H21" s="2"/>
      <c r="I21" s="6"/>
      <c r="K21" s="80"/>
    </row>
    <row r="22" spans="1:11" ht="13.5" thickBot="1" x14ac:dyDescent="0.35">
      <c r="A22" s="7" t="s">
        <v>30</v>
      </c>
      <c r="B22" s="2"/>
      <c r="C22" s="44">
        <f>AVERAGE(C16:C20)</f>
        <v>40800</v>
      </c>
      <c r="D22" s="2"/>
      <c r="E22" s="2"/>
      <c r="F22" s="2"/>
      <c r="G22" s="2"/>
      <c r="H22" s="2"/>
      <c r="I22" s="6"/>
      <c r="K22" s="80"/>
    </row>
    <row r="23" spans="1:11" ht="13.5" thickBot="1" x14ac:dyDescent="0.35">
      <c r="A23" s="7" t="s">
        <v>14</v>
      </c>
      <c r="B23" s="2"/>
      <c r="C23" s="2"/>
      <c r="D23" s="15"/>
      <c r="E23" s="2"/>
      <c r="F23" s="2"/>
      <c r="G23" s="2"/>
      <c r="H23" s="2"/>
      <c r="I23" s="6"/>
      <c r="K23" s="80"/>
    </row>
    <row r="24" spans="1:11" ht="13.5" thickBot="1" x14ac:dyDescent="0.35">
      <c r="A24" s="7" t="s">
        <v>31</v>
      </c>
      <c r="B24" s="2"/>
      <c r="C24" s="2"/>
      <c r="D24" s="45">
        <f>AVERAGE(D17:D20)</f>
        <v>6.8037855454627802E-2</v>
      </c>
      <c r="E24" s="2"/>
      <c r="F24" s="2"/>
      <c r="G24" s="2"/>
      <c r="H24" s="2"/>
      <c r="I24" s="6"/>
      <c r="K24" s="80"/>
    </row>
    <row r="25" spans="1:11" ht="13" x14ac:dyDescent="0.3">
      <c r="A25" s="7"/>
      <c r="B25" s="2"/>
      <c r="C25" s="2"/>
      <c r="D25" s="16"/>
      <c r="E25" s="2"/>
      <c r="F25" s="2"/>
      <c r="G25" s="2"/>
      <c r="H25" s="2"/>
      <c r="I25" s="6"/>
      <c r="K25" s="80"/>
    </row>
    <row r="26" spans="1:11" ht="13" x14ac:dyDescent="0.3">
      <c r="A26" s="7"/>
      <c r="B26" s="2"/>
      <c r="C26" s="2"/>
      <c r="D26" s="16"/>
      <c r="E26" s="2"/>
      <c r="F26" s="2"/>
      <c r="G26" s="2"/>
      <c r="H26" s="2"/>
      <c r="I26" s="6"/>
      <c r="K26" s="80"/>
    </row>
    <row r="27" spans="1:11" ht="13" x14ac:dyDescent="0.3">
      <c r="A27" s="7"/>
      <c r="B27" s="14" t="s">
        <v>36</v>
      </c>
      <c r="C27" s="14"/>
      <c r="D27" s="42"/>
      <c r="E27" s="2"/>
      <c r="F27" s="41">
        <v>0.06</v>
      </c>
      <c r="G27" s="2"/>
      <c r="H27" s="2"/>
      <c r="I27" s="6"/>
      <c r="K27" s="80"/>
    </row>
    <row r="28" spans="1:11" ht="13" thickBot="1" x14ac:dyDescent="0.3">
      <c r="A28" s="18"/>
      <c r="B28" s="19"/>
      <c r="C28" s="19"/>
      <c r="D28" s="19"/>
      <c r="E28" s="20"/>
      <c r="F28" s="19"/>
      <c r="G28" s="19"/>
      <c r="H28" s="19"/>
      <c r="I28" s="21"/>
      <c r="K28" s="80"/>
    </row>
  </sheetData>
  <mergeCells count="3">
    <mergeCell ref="A1:I1"/>
    <mergeCell ref="A2:I2"/>
    <mergeCell ref="A12:I12"/>
  </mergeCells>
  <phoneticPr fontId="0" type="noConversion"/>
  <printOptions horizontalCentered="1" headings="1" gridLines="1"/>
  <pageMargins left="0.75" right="0.75" top="1" bottom="1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35"/>
  <sheetViews>
    <sheetView tabSelected="1" workbookViewId="0">
      <selection activeCell="G10" sqref="G10"/>
    </sheetView>
  </sheetViews>
  <sheetFormatPr defaultColWidth="9.08984375" defaultRowHeight="12.5" x14ac:dyDescent="0.25"/>
  <cols>
    <col min="1" max="1" width="9.08984375" style="2"/>
    <col min="2" max="2" width="8.54296875" style="2" customWidth="1"/>
    <col min="3" max="3" width="10.26953125" style="2" bestFit="1" customWidth="1"/>
    <col min="4" max="4" width="4.36328125" style="2" customWidth="1"/>
    <col min="5" max="5" width="4.453125" style="2" customWidth="1"/>
    <col min="6" max="6" width="4.36328125" style="2" customWidth="1"/>
    <col min="7" max="7" width="9.6328125" style="2" customWidth="1"/>
    <col min="8" max="8" width="9.08984375" style="2"/>
    <col min="9" max="9" width="9.6328125" style="2" customWidth="1"/>
    <col min="10" max="10" width="10.81640625" style="2" customWidth="1"/>
    <col min="11" max="16384" width="9.08984375" style="2"/>
  </cols>
  <sheetData>
    <row r="1" spans="1:12" ht="15.75" customHeight="1" x14ac:dyDescent="0.35">
      <c r="A1" s="76" t="s">
        <v>32</v>
      </c>
      <c r="B1" s="77"/>
      <c r="C1" s="77"/>
      <c r="D1" s="77"/>
      <c r="E1" s="77"/>
      <c r="F1" s="77"/>
      <c r="G1" s="77"/>
      <c r="H1" s="77"/>
      <c r="I1" s="77"/>
      <c r="J1" s="30"/>
    </row>
    <row r="2" spans="1:12" ht="13" thickBot="1" x14ac:dyDescent="0.3">
      <c r="A2" s="31"/>
      <c r="J2" s="32"/>
    </row>
    <row r="3" spans="1:12" ht="13.5" thickBot="1" x14ac:dyDescent="0.35">
      <c r="A3" s="78" t="s">
        <v>15</v>
      </c>
      <c r="B3" s="79"/>
      <c r="C3" s="79"/>
      <c r="D3" s="79"/>
      <c r="E3" s="79"/>
      <c r="F3" s="79"/>
      <c r="G3" s="44">
        <f>'Data Entry'!C22</f>
        <v>40800</v>
      </c>
      <c r="J3" s="32"/>
    </row>
    <row r="4" spans="1:12" ht="13" x14ac:dyDescent="0.3">
      <c r="A4" s="31"/>
      <c r="B4" s="14"/>
      <c r="J4" s="32"/>
    </row>
    <row r="5" spans="1:12" x14ac:dyDescent="0.25">
      <c r="A5" s="31"/>
      <c r="J5" s="32"/>
    </row>
    <row r="6" spans="1:12" ht="13" x14ac:dyDescent="0.3">
      <c r="A6" s="33" t="s">
        <v>16</v>
      </c>
      <c r="G6" s="22"/>
      <c r="I6" s="27" t="s">
        <v>24</v>
      </c>
      <c r="J6" s="32"/>
      <c r="L6" s="3"/>
    </row>
    <row r="7" spans="1:12" ht="13.5" thickBot="1" x14ac:dyDescent="0.35">
      <c r="A7" s="34" t="s">
        <v>17</v>
      </c>
      <c r="G7" s="23"/>
      <c r="I7" s="28" t="s">
        <v>17</v>
      </c>
      <c r="J7" s="32"/>
    </row>
    <row r="8" spans="1:12" ht="13.5" thickBot="1" x14ac:dyDescent="0.35">
      <c r="A8" s="35" t="s">
        <v>18</v>
      </c>
      <c r="C8" s="46">
        <f>DAYS360('Data Entry'!G5,'Data Entry'!G7,FALSE)/360</f>
        <v>59.741666666666667</v>
      </c>
      <c r="G8" s="24">
        <v>65</v>
      </c>
      <c r="I8" s="29" t="s">
        <v>18</v>
      </c>
      <c r="J8" s="32"/>
    </row>
    <row r="9" spans="1:12" ht="13" x14ac:dyDescent="0.3">
      <c r="A9" s="35" t="s">
        <v>19</v>
      </c>
      <c r="C9" s="47">
        <f>DAYS360('Data Entry'!G9,'Data Entry'!G7,FALSE)/360</f>
        <v>50.172222222222224</v>
      </c>
      <c r="G9" s="49">
        <f>DAYS360('Data Entry'!G9,Work!B1,FALSE)/360</f>
        <v>55.430555555555557</v>
      </c>
      <c r="I9" s="29" t="s">
        <v>19</v>
      </c>
      <c r="J9" s="32"/>
    </row>
    <row r="10" spans="1:12" ht="13" x14ac:dyDescent="0.3">
      <c r="A10" s="34" t="s">
        <v>20</v>
      </c>
      <c r="C10" s="47">
        <f>DAYS360('Data Entry'!G6,'Data Entry'!G7,FALSE)/360</f>
        <v>27.580555555555556</v>
      </c>
      <c r="G10" s="50">
        <f>MIN(30,DAYS360('Data Entry'!G6,Work!B1,FALSE)/360)</f>
        <v>30</v>
      </c>
      <c r="I10" s="28" t="s">
        <v>20</v>
      </c>
      <c r="J10" s="52" t="s">
        <v>37</v>
      </c>
    </row>
    <row r="11" spans="1:12" ht="13.5" thickBot="1" x14ac:dyDescent="0.35">
      <c r="A11" s="34" t="s">
        <v>21</v>
      </c>
      <c r="C11" s="48">
        <f>(DAYS360('Data Entry'!G7,Work!B1,FALSE)/360)*12</f>
        <v>63.100000000000009</v>
      </c>
      <c r="G11" s="51">
        <v>0</v>
      </c>
      <c r="I11" s="28" t="s">
        <v>21</v>
      </c>
      <c r="J11" s="32"/>
    </row>
    <row r="12" spans="1:12" x14ac:dyDescent="0.25">
      <c r="A12" s="31"/>
      <c r="G12" s="25"/>
      <c r="I12" s="25"/>
      <c r="J12" s="32"/>
    </row>
    <row r="13" spans="1:12" x14ac:dyDescent="0.25">
      <c r="A13" s="31"/>
      <c r="G13" s="23"/>
      <c r="I13" s="23"/>
      <c r="J13" s="32"/>
    </row>
    <row r="14" spans="1:12" ht="13" thickBot="1" x14ac:dyDescent="0.3">
      <c r="A14" s="31"/>
      <c r="J14" s="32"/>
    </row>
    <row r="15" spans="1:12" ht="13.5" thickBot="1" x14ac:dyDescent="0.35">
      <c r="A15" s="34" t="s">
        <v>22</v>
      </c>
      <c r="C15" s="44">
        <f>((0.8*Work!B10*(MIN(30,C10))/30)/12)*MAX(0.4,(1-((0.05*C11)*0.1)))</f>
        <v>1711.6860518518517</v>
      </c>
      <c r="G15" s="44">
        <f>(0.8*Work!B6*(MIN(30,G10)/30))/12</f>
        <v>3844.917431918971</v>
      </c>
      <c r="I15" s="28" t="s">
        <v>22</v>
      </c>
      <c r="J15" s="32"/>
    </row>
    <row r="16" spans="1:12" ht="13" thickBot="1" x14ac:dyDescent="0.3">
      <c r="A16" s="31"/>
      <c r="F16" s="23"/>
      <c r="G16" s="23"/>
      <c r="H16" s="23"/>
      <c r="I16" s="23"/>
      <c r="J16" s="32"/>
    </row>
    <row r="17" spans="1:10" ht="13.5" thickBot="1" x14ac:dyDescent="0.35">
      <c r="A17" s="34" t="s">
        <v>23</v>
      </c>
      <c r="C17" s="53">
        <f>PV('Data Entry'!F27/12,Work!B19*12,-'Benefits Comparison'!C15,0)</f>
        <v>246421.05703646809</v>
      </c>
      <c r="F17" s="23"/>
      <c r="G17" s="56">
        <f>PV('Data Entry'!F27/12,'Benefits Comparison'!C11,0,Work!B15)</f>
        <v>345902.14240706345</v>
      </c>
      <c r="I17" s="28" t="s">
        <v>23</v>
      </c>
      <c r="J17" s="32"/>
    </row>
    <row r="18" spans="1:10" x14ac:dyDescent="0.25">
      <c r="A18" s="39"/>
      <c r="B18" s="40" t="s">
        <v>34</v>
      </c>
      <c r="C18" s="54">
        <f>1.5*G3</f>
        <v>61200</v>
      </c>
      <c r="I18" s="22"/>
      <c r="J18" s="32"/>
    </row>
    <row r="19" spans="1:10" ht="13" thickBot="1" x14ac:dyDescent="0.3">
      <c r="A19" s="31"/>
      <c r="B19" s="40" t="s">
        <v>35</v>
      </c>
      <c r="C19" s="55">
        <f>SUM(C17:C18)</f>
        <v>307621.05703646806</v>
      </c>
      <c r="I19" s="22"/>
      <c r="J19" s="32"/>
    </row>
    <row r="20" spans="1:10" x14ac:dyDescent="0.25">
      <c r="A20" s="31"/>
      <c r="J20" s="32"/>
    </row>
    <row r="21" spans="1:10" ht="13" x14ac:dyDescent="0.3">
      <c r="A21" s="34"/>
      <c r="C21" s="26"/>
      <c r="J21" s="32"/>
    </row>
    <row r="22" spans="1:10" x14ac:dyDescent="0.25">
      <c r="A22" s="39" t="s">
        <v>33</v>
      </c>
      <c r="J22" s="32"/>
    </row>
    <row r="23" spans="1:10" x14ac:dyDescent="0.25">
      <c r="A23" s="36"/>
      <c r="B23" s="37"/>
      <c r="C23" s="37"/>
      <c r="D23" s="37"/>
      <c r="E23" s="37"/>
      <c r="F23" s="37"/>
      <c r="G23" s="37"/>
      <c r="H23" s="37"/>
      <c r="I23" s="37"/>
      <c r="J23" s="38"/>
    </row>
    <row r="25" spans="1:10" x14ac:dyDescent="0.25">
      <c r="A25" s="25"/>
      <c r="B25" s="25"/>
    </row>
    <row r="26" spans="1:10" x14ac:dyDescent="0.25">
      <c r="B26" s="25"/>
    </row>
    <row r="28" spans="1:10" x14ac:dyDescent="0.25">
      <c r="G28" s="66"/>
      <c r="H28" s="60"/>
    </row>
    <row r="34" spans="7:7" x14ac:dyDescent="0.25">
      <c r="G34" s="60"/>
    </row>
    <row r="35" spans="7:7" x14ac:dyDescent="0.25">
      <c r="G35" s="60"/>
    </row>
  </sheetData>
  <mergeCells count="2">
    <mergeCell ref="A1:I1"/>
    <mergeCell ref="A3:F3"/>
  </mergeCells>
  <phoneticPr fontId="0" type="noConversion"/>
  <printOptions horizontalCentered="1"/>
  <pageMargins left="0.75" right="0.75" top="1" bottom="1" header="0.5" footer="0.5"/>
  <pageSetup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41DE5-D970-4EE0-84BE-60B8E664EA07}">
  <sheetPr codeName="Sheet3"/>
  <dimension ref="A1:C21"/>
  <sheetViews>
    <sheetView workbookViewId="0">
      <selection activeCell="B1" sqref="B1"/>
    </sheetView>
  </sheetViews>
  <sheetFormatPr defaultRowHeight="12.5" x14ac:dyDescent="0.25"/>
  <cols>
    <col min="1" max="1" width="23.54296875" bestFit="1" customWidth="1"/>
    <col min="2" max="2" width="12.1796875" bestFit="1" customWidth="1"/>
  </cols>
  <sheetData>
    <row r="1" spans="1:3" x14ac:dyDescent="0.25">
      <c r="A1" t="s">
        <v>39</v>
      </c>
      <c r="B1" s="59">
        <f>EDATE('Data Entry'!G5,780)</f>
        <v>45934</v>
      </c>
    </row>
    <row r="2" spans="1:3" x14ac:dyDescent="0.25">
      <c r="A2" t="s">
        <v>44</v>
      </c>
      <c r="B2" s="63">
        <f>DAYS360('Data Entry'!G7,Work!B1,FALSE)/360</f>
        <v>5.2583333333333337</v>
      </c>
    </row>
    <row r="4" spans="1:3" x14ac:dyDescent="0.25">
      <c r="A4" s="62"/>
    </row>
    <row r="5" spans="1:3" ht="13" thickBot="1" x14ac:dyDescent="0.3">
      <c r="A5" s="61" t="s">
        <v>41</v>
      </c>
    </row>
    <row r="6" spans="1:3" x14ac:dyDescent="0.25">
      <c r="A6" t="s">
        <v>42</v>
      </c>
      <c r="B6" s="65">
        <f>IF('Data Entry'!C6="Salaried",(('Benefits Comparison'!G3)*(1+'Data Entry'!D24)^(B2)),29000)</f>
        <v>57673.76147878456</v>
      </c>
    </row>
    <row r="7" spans="1:3" x14ac:dyDescent="0.25">
      <c r="A7" s="62" t="s">
        <v>43</v>
      </c>
      <c r="B7" s="64">
        <f>(0.8*B6*(MIN(30,'Benefits Comparison'!G10))/30)/12</f>
        <v>3844.917431918971</v>
      </c>
    </row>
    <row r="9" spans="1:3" ht="13" thickBot="1" x14ac:dyDescent="0.3">
      <c r="A9" s="61" t="s">
        <v>40</v>
      </c>
    </row>
    <row r="10" spans="1:3" x14ac:dyDescent="0.25">
      <c r="A10" s="67" t="s">
        <v>45</v>
      </c>
      <c r="B10">
        <f>IF('Data Entry'!C6="Salaried",'Benefits Comparison'!G3, 29000)</f>
        <v>40800</v>
      </c>
    </row>
    <row r="11" spans="1:3" x14ac:dyDescent="0.25">
      <c r="A11" s="67" t="s">
        <v>43</v>
      </c>
      <c r="B11" s="64">
        <f>((0.8*B10*(MIN(30,'Benefits Comparison'!C10))/30)/12)*MAX(0.4,(1-((0.05*'Benefits Comparison'!C11)*0.1)))</f>
        <v>1711.6860518518517</v>
      </c>
    </row>
    <row r="13" spans="1:3" ht="13" thickBot="1" x14ac:dyDescent="0.3">
      <c r="A13" s="68" t="s">
        <v>46</v>
      </c>
    </row>
    <row r="14" spans="1:3" x14ac:dyDescent="0.25">
      <c r="A14" s="40" t="s">
        <v>47</v>
      </c>
      <c r="B14">
        <f>IF('Data Entry'!C7="F",81-65, 76-65)</f>
        <v>16</v>
      </c>
      <c r="C14">
        <f>B14*12</f>
        <v>192</v>
      </c>
    </row>
    <row r="15" spans="1:3" x14ac:dyDescent="0.25">
      <c r="A15" s="40" t="s">
        <v>48</v>
      </c>
      <c r="B15" s="69">
        <f>PV('Data Entry'!F27/12,B14*12,B7,0)</f>
        <v>-473840.03175666888</v>
      </c>
    </row>
    <row r="16" spans="1:3" x14ac:dyDescent="0.25">
      <c r="A16" s="40" t="s">
        <v>49</v>
      </c>
      <c r="B16" s="69">
        <f>PV('Data Entry'!F27/12,'Benefits Comparison'!C11,0,Work!B15)</f>
        <v>345902.14240706345</v>
      </c>
    </row>
    <row r="18" spans="1:3" ht="13" thickBot="1" x14ac:dyDescent="0.3">
      <c r="A18" s="68" t="s">
        <v>50</v>
      </c>
    </row>
    <row r="19" spans="1:3" x14ac:dyDescent="0.25">
      <c r="A19" s="40" t="s">
        <v>47</v>
      </c>
      <c r="B19">
        <f>IF('Data Entry'!C7="F",81-'Benefits Comparison'!C8, 76-'Benefits Comparison'!C8)</f>
        <v>21.258333333333333</v>
      </c>
      <c r="C19">
        <f>B19*12</f>
        <v>255.1</v>
      </c>
    </row>
    <row r="20" spans="1:3" x14ac:dyDescent="0.25">
      <c r="A20" s="40" t="s">
        <v>49</v>
      </c>
      <c r="B20" s="69">
        <f>PV('Data Entry'!F27/12,B19*12,-B11,0)</f>
        <v>246421.05703646809</v>
      </c>
    </row>
    <row r="21" spans="1:3" x14ac:dyDescent="0.25">
      <c r="A21" s="40" t="s">
        <v>34</v>
      </c>
      <c r="B21">
        <f>1.5*'Benefits Comparison'!G3</f>
        <v>61200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Entry</vt:lpstr>
      <vt:lpstr>Benefits Comparison</vt:lpstr>
      <vt:lpstr>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Rakes</dc:creator>
  <cp:lastModifiedBy>David Corcoran</cp:lastModifiedBy>
  <cp:lastPrinted>2014-05-15T11:39:18Z</cp:lastPrinted>
  <dcterms:created xsi:type="dcterms:W3CDTF">1998-05-28T21:51:02Z</dcterms:created>
  <dcterms:modified xsi:type="dcterms:W3CDTF">2020-06-06T22:43:24Z</dcterms:modified>
</cp:coreProperties>
</file>