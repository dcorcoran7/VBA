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49bec91a8651c45/Documents/Virginia Tech/2 - Sophomore Summer/Intro to Business Analytics Modeling/"/>
    </mc:Choice>
  </mc:AlternateContent>
  <xr:revisionPtr revIDLastSave="357" documentId="8_{D55C2DEF-5C0D-4C96-BBE7-6CAE42B2AF38}" xr6:coauthVersionLast="45" xr6:coauthVersionMax="45" xr10:uidLastSave="{A8475CC1-3ECF-4D85-875F-5460BE781401}"/>
  <bookViews>
    <workbookView xWindow="-110" yWindow="-110" windowWidth="22780" windowHeight="14660" xr2:uid="{B6F24318-F7C8-4461-9CA4-CBFB858CDBDD}"/>
  </bookViews>
  <sheets>
    <sheet name="Introduction" sheetId="5" r:id="rId1"/>
    <sheet name="Data Entry" sheetId="2" r:id="rId2"/>
    <sheet name="Benefits Comparison" sheetId="3" r:id="rId3"/>
    <sheet name="Work" sheetId="4" r:id="rId4"/>
    <sheet name="Conclusion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4" l="1"/>
  <c r="G10" i="3" s="1"/>
  <c r="C10" i="3"/>
  <c r="F13" i="1" s="1"/>
  <c r="B24" i="4"/>
  <c r="F12" i="1" s="1"/>
  <c r="H14" i="1"/>
  <c r="H10" i="1"/>
  <c r="B14" i="4"/>
  <c r="C9" i="3"/>
  <c r="F11" i="1" s="1"/>
  <c r="C8" i="3"/>
  <c r="F10" i="1" s="1"/>
  <c r="C22" i="2"/>
  <c r="F7" i="1" s="1"/>
  <c r="D20" i="2"/>
  <c r="D19" i="2"/>
  <c r="D18" i="2"/>
  <c r="D17" i="2"/>
  <c r="D24" i="2" l="1"/>
  <c r="G3" i="3"/>
  <c r="B19" i="4"/>
  <c r="C19" i="4" s="1"/>
  <c r="B25" i="4"/>
  <c r="H12" i="1" s="1"/>
  <c r="B2" i="4"/>
  <c r="H13" i="1"/>
  <c r="C11" i="3"/>
  <c r="F14" i="1" s="1"/>
  <c r="G9" i="3"/>
  <c r="H11" i="1" s="1"/>
  <c r="C14" i="4"/>
  <c r="B6" i="4" l="1"/>
  <c r="H15" i="1" s="1"/>
  <c r="C18" i="3"/>
  <c r="F18" i="1" s="1"/>
  <c r="B10" i="4"/>
  <c r="F15" i="1" s="1"/>
  <c r="B21" i="4"/>
  <c r="G15" i="3" l="1"/>
  <c r="H16" i="1" s="1"/>
  <c r="B11" i="4"/>
  <c r="B20" i="4" s="1"/>
  <c r="B7" i="4"/>
  <c r="B15" i="4" s="1"/>
  <c r="B16" i="4" s="1"/>
  <c r="C15" i="3"/>
  <c r="F16" i="1" s="1"/>
  <c r="G17" i="3" l="1"/>
  <c r="H17" i="1" s="1"/>
  <c r="C17" i="3"/>
  <c r="C19" i="3" s="1"/>
  <c r="F19" i="1" s="1"/>
  <c r="F17" i="1" l="1"/>
</calcChain>
</file>

<file path=xl/sharedStrings.xml><?xml version="1.0" encoding="utf-8"?>
<sst xmlns="http://schemas.openxmlformats.org/spreadsheetml/2006/main" count="84" uniqueCount="67">
  <si>
    <t>BENEFITS COMPARISON</t>
  </si>
  <si>
    <t>Base Salary for Retirement Calculations</t>
  </si>
  <si>
    <t>Retire Early</t>
  </si>
  <si>
    <t>Retire at 65</t>
  </si>
  <si>
    <t>Age @ Retirement</t>
  </si>
  <si>
    <t>…Employee</t>
  </si>
  <si>
    <t>…Spouse</t>
  </si>
  <si>
    <t>Yrs of service</t>
  </si>
  <si>
    <t>(max of 30)</t>
  </si>
  <si>
    <t>Months early</t>
  </si>
  <si>
    <t>Monthly Benefit</t>
  </si>
  <si>
    <t>Estimated PV</t>
  </si>
  <si>
    <t>Bonus</t>
  </si>
  <si>
    <t>Total</t>
  </si>
  <si>
    <t>*Note:  Both Estimated PVs are as of the early retirement date.</t>
  </si>
  <si>
    <t>Date for 65 year Retirement</t>
  </si>
  <si>
    <t>Years Until 65</t>
  </si>
  <si>
    <t>Monthly Benefit (65)</t>
  </si>
  <si>
    <t>ABS</t>
  </si>
  <si>
    <t>Benefit</t>
  </si>
  <si>
    <t>Monthly Benefit (Early)</t>
  </si>
  <si>
    <t>Base salary</t>
  </si>
  <si>
    <t>Estimated PV (65)</t>
  </si>
  <si>
    <t>Years Annuity</t>
  </si>
  <si>
    <t>PV at 65</t>
  </si>
  <si>
    <t>Total PV</t>
  </si>
  <si>
    <t>Estimate PV (Early)</t>
  </si>
  <si>
    <t>DATA ENTRY</t>
  </si>
  <si>
    <t>Personal Information</t>
  </si>
  <si>
    <t>Employee Name</t>
  </si>
  <si>
    <t>Dates</t>
  </si>
  <si>
    <t>SSN</t>
  </si>
  <si>
    <t>Birth</t>
  </si>
  <si>
    <t>Status</t>
  </si>
  <si>
    <t>Hire</t>
  </si>
  <si>
    <t>Gender</t>
  </si>
  <si>
    <t>F</t>
  </si>
  <si>
    <t>Retire</t>
  </si>
  <si>
    <t>Spouse Name</t>
  </si>
  <si>
    <t>Spouse Gender</t>
  </si>
  <si>
    <t>M</t>
  </si>
  <si>
    <t>Spouse Birth</t>
  </si>
  <si>
    <t>Earnings History</t>
  </si>
  <si>
    <t>Employee's highest, five-consecutive years' earnings:</t>
  </si>
  <si>
    <t>Avg 5-year salary:</t>
  </si>
  <si>
    <t>Avg(5-year)salary</t>
  </si>
  <si>
    <t>growth rate:</t>
  </si>
  <si>
    <t>Current or Predicted Interest Rate</t>
  </si>
  <si>
    <t>Retirement Benefit Program</t>
  </si>
  <si>
    <t>Benefits Comparison</t>
  </si>
  <si>
    <t>Base Salary for Retirement Calculations (Or Wages of Hourly Employee)</t>
  </si>
  <si>
    <t>Age at Retirement</t>
  </si>
  <si>
    <t xml:space="preserve">          Spouse</t>
  </si>
  <si>
    <t xml:space="preserve">          Employee</t>
  </si>
  <si>
    <t>Years of Service</t>
  </si>
  <si>
    <t>Years of Service Applicable for Benefits</t>
  </si>
  <si>
    <t>Months Early</t>
  </si>
  <si>
    <t>Adjusted Base Salary or Base Salary</t>
  </si>
  <si>
    <t>Estimated PV (As of Early Retirement Date)</t>
  </si>
  <si>
    <t>Early Retirement Bonus</t>
  </si>
  <si>
    <t>Early</t>
  </si>
  <si>
    <t>Retire Later?</t>
  </si>
  <si>
    <t>Or</t>
  </si>
  <si>
    <t>Retire Now?</t>
  </si>
  <si>
    <t>Homer Simpson</t>
  </si>
  <si>
    <t>Marge Simpson</t>
  </si>
  <si>
    <t>Hourly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</si>
</sst>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mmmm\ d\,\ yyyy"/>
    <numFmt numFmtId="166" formatCode="000\-00\-0000"/>
    <numFmt numFmtId="167" formatCode="&quot;$&quot;#,##0.00"/>
    <numFmt numFmtId="168" formatCode="&quot;$&quot;#,##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 val="double"/>
      <sz val="10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  <font>
      <b/>
      <i/>
      <u/>
      <sz val="10"/>
      <name val="Arial"/>
      <family val="2"/>
    </font>
    <font>
      <b/>
      <sz val="20"/>
      <color theme="3"/>
      <name val="Times New Roman"/>
      <family val="1"/>
    </font>
    <font>
      <sz val="11"/>
      <color theme="1"/>
      <name val="Times New Roman"/>
      <family val="1"/>
    </font>
    <font>
      <sz val="13"/>
      <color theme="1"/>
      <name val="Times New Roman"/>
      <family val="1"/>
    </font>
    <font>
      <sz val="14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theme="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94">
    <xf numFmtId="0" fontId="0" fillId="0" borderId="0" xfId="0"/>
    <xf numFmtId="0" fontId="4" fillId="0" borderId="4" xfId="0" applyFont="1" applyBorder="1"/>
    <xf numFmtId="0" fontId="4" fillId="0" borderId="5" xfId="0" applyFont="1" applyBorder="1"/>
    <xf numFmtId="0" fontId="4" fillId="0" borderId="0" xfId="0" applyFont="1"/>
    <xf numFmtId="0" fontId="4" fillId="0" borderId="6" xfId="0" applyFont="1" applyBorder="1"/>
    <xf numFmtId="164" fontId="4" fillId="0" borderId="7" xfId="1" applyNumberFormat="1" applyFont="1" applyFill="1" applyBorder="1"/>
    <xf numFmtId="0" fontId="5" fillId="0" borderId="0" xfId="0" applyFont="1"/>
    <xf numFmtId="0" fontId="6" fillId="0" borderId="5" xfId="0" applyFont="1" applyBorder="1"/>
    <xf numFmtId="0" fontId="4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7" fillId="0" borderId="5" xfId="0" applyFont="1" applyBorder="1"/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0" fontId="5" fillId="0" borderId="5" xfId="0" applyFont="1" applyBorder="1"/>
    <xf numFmtId="2" fontId="0" fillId="0" borderId="8" xfId="0" applyNumberFormat="1" applyBorder="1"/>
    <xf numFmtId="2" fontId="4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2" fontId="4" fillId="0" borderId="9" xfId="0" applyNumberFormat="1" applyFont="1" applyBorder="1"/>
    <xf numFmtId="2" fontId="4" fillId="0" borderId="8" xfId="0" applyNumberFormat="1" applyFont="1" applyBorder="1" applyAlignment="1">
      <alignment horizontal="right"/>
    </xf>
    <xf numFmtId="2" fontId="4" fillId="0" borderId="9" xfId="0" applyNumberFormat="1" applyFont="1" applyBorder="1" applyAlignment="1">
      <alignment horizontal="right"/>
    </xf>
    <xf numFmtId="2" fontId="4" fillId="0" borderId="10" xfId="0" applyNumberFormat="1" applyFont="1" applyBorder="1"/>
    <xf numFmtId="2" fontId="4" fillId="0" borderId="10" xfId="0" applyNumberFormat="1" applyFont="1" applyBorder="1" applyAlignment="1">
      <alignment horizontal="right"/>
    </xf>
    <xf numFmtId="0" fontId="8" fillId="0" borderId="0" xfId="0" applyFont="1"/>
    <xf numFmtId="164" fontId="4" fillId="0" borderId="8" xfId="1" applyNumberFormat="1" applyFont="1" applyFill="1" applyBorder="1"/>
    <xf numFmtId="164" fontId="4" fillId="0" borderId="7" xfId="1" applyNumberFormat="1" applyFont="1" applyFill="1" applyBorder="1" applyAlignment="1">
      <alignment horizontal="right"/>
    </xf>
    <xf numFmtId="164" fontId="4" fillId="0" borderId="9" xfId="1" applyNumberFormat="1" applyFont="1" applyFill="1" applyBorder="1"/>
    <xf numFmtId="164" fontId="4" fillId="0" borderId="10" xfId="0" applyNumberFormat="1" applyFont="1" applyBorder="1"/>
    <xf numFmtId="6" fontId="4" fillId="0" borderId="0" xfId="0" applyNumberFormat="1" applyFont="1"/>
    <xf numFmtId="0" fontId="4" fillId="0" borderId="11" xfId="0" applyFont="1" applyBorder="1"/>
    <xf numFmtId="0" fontId="4" fillId="0" borderId="12" xfId="0" applyFont="1" applyBorder="1"/>
    <xf numFmtId="0" fontId="4" fillId="0" borderId="13" xfId="0" applyFont="1" applyBorder="1"/>
    <xf numFmtId="14" fontId="0" fillId="0" borderId="0" xfId="0" applyNumberFormat="1"/>
    <xf numFmtId="2" fontId="0" fillId="0" borderId="0" xfId="0" applyNumberFormat="1"/>
    <xf numFmtId="0" fontId="0" fillId="0" borderId="14" xfId="0" applyBorder="1"/>
    <xf numFmtId="164" fontId="0" fillId="0" borderId="0" xfId="0" quotePrefix="1" applyNumberFormat="1"/>
    <xf numFmtId="164" fontId="0" fillId="0" borderId="0" xfId="0" applyNumberFormat="1"/>
    <xf numFmtId="0" fontId="4" fillId="0" borderId="14" xfId="0" applyFont="1" applyBorder="1"/>
    <xf numFmtId="8" fontId="0" fillId="0" borderId="0" xfId="0" applyNumberFormat="1"/>
    <xf numFmtId="0" fontId="4" fillId="0" borderId="18" xfId="0" applyFont="1" applyBorder="1"/>
    <xf numFmtId="14" fontId="4" fillId="0" borderId="0" xfId="0" applyNumberFormat="1" applyFont="1"/>
    <xf numFmtId="0" fontId="4" fillId="0" borderId="19" xfId="0" applyFont="1" applyBorder="1"/>
    <xf numFmtId="0" fontId="5" fillId="0" borderId="18" xfId="0" applyFont="1" applyBorder="1"/>
    <xf numFmtId="165" fontId="4" fillId="0" borderId="0" xfId="0" applyNumberFormat="1" applyFont="1"/>
    <xf numFmtId="0" fontId="7" fillId="0" borderId="19" xfId="0" applyFont="1" applyBorder="1" applyAlignment="1">
      <alignment horizontal="right"/>
    </xf>
    <xf numFmtId="166" fontId="4" fillId="0" borderId="0" xfId="0" applyNumberFormat="1" applyFont="1"/>
    <xf numFmtId="0" fontId="5" fillId="0" borderId="19" xfId="0" applyFont="1" applyBorder="1" applyAlignment="1">
      <alignment horizontal="right"/>
    </xf>
    <xf numFmtId="14" fontId="4" fillId="0" borderId="20" xfId="0" applyNumberFormat="1" applyFont="1" applyBorder="1"/>
    <xf numFmtId="0" fontId="7" fillId="0" borderId="0" xfId="0" applyFont="1"/>
    <xf numFmtId="0" fontId="7" fillId="0" borderId="18" xfId="0" applyFont="1" applyBorder="1"/>
    <xf numFmtId="164" fontId="4" fillId="0" borderId="0" xfId="1" applyNumberFormat="1" applyFont="1" applyFill="1" applyBorder="1"/>
    <xf numFmtId="10" fontId="4" fillId="0" borderId="8" xfId="0" applyNumberFormat="1" applyFont="1" applyBorder="1"/>
    <xf numFmtId="164" fontId="4" fillId="0" borderId="12" xfId="1" applyNumberFormat="1" applyFont="1" applyFill="1" applyBorder="1"/>
    <xf numFmtId="10" fontId="4" fillId="0" borderId="7" xfId="2" applyNumberFormat="1" applyFont="1" applyFill="1" applyBorder="1"/>
    <xf numFmtId="10" fontId="4" fillId="0" borderId="0" xfId="2" applyNumberFormat="1" applyFont="1" applyFill="1" applyBorder="1"/>
    <xf numFmtId="10" fontId="5" fillId="0" borderId="0" xfId="2" applyNumberFormat="1" applyFont="1" applyFill="1" applyBorder="1"/>
    <xf numFmtId="9" fontId="4" fillId="0" borderId="20" xfId="0" applyNumberFormat="1" applyFont="1" applyBorder="1"/>
    <xf numFmtId="0" fontId="4" fillId="0" borderId="21" xfId="0" applyFont="1" applyBorder="1"/>
    <xf numFmtId="10" fontId="4" fillId="0" borderId="14" xfId="0" applyNumberFormat="1" applyFont="1" applyBorder="1"/>
    <xf numFmtId="0" fontId="4" fillId="0" borderId="22" xfId="0" applyFont="1" applyBorder="1"/>
    <xf numFmtId="0" fontId="0" fillId="2" borderId="0" xfId="0" applyFill="1"/>
    <xf numFmtId="0" fontId="0" fillId="2" borderId="14" xfId="0" applyFill="1" applyBorder="1"/>
    <xf numFmtId="0" fontId="11" fillId="2" borderId="0" xfId="0" applyFont="1" applyFill="1" applyAlignment="1">
      <alignment wrapText="1"/>
    </xf>
    <xf numFmtId="0" fontId="11" fillId="2" borderId="0" xfId="0" applyFont="1" applyFill="1"/>
    <xf numFmtId="167" fontId="11" fillId="2" borderId="0" xfId="0" applyNumberFormat="1" applyFont="1" applyFill="1"/>
    <xf numFmtId="2" fontId="11" fillId="2" borderId="0" xfId="0" applyNumberFormat="1" applyFont="1" applyFill="1"/>
    <xf numFmtId="0" fontId="4" fillId="0" borderId="0" xfId="0" applyFont="1" applyFill="1" applyBorder="1"/>
    <xf numFmtId="0" fontId="0" fillId="0" borderId="0" xfId="0" applyAlignment="1">
      <alignment horizontal="left"/>
    </xf>
    <xf numFmtId="0" fontId="0" fillId="2" borderId="0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1" xfId="0" applyFill="1" applyBorder="1"/>
    <xf numFmtId="0" fontId="0" fillId="2" borderId="22" xfId="0" applyFill="1" applyBorder="1"/>
    <xf numFmtId="0" fontId="11" fillId="2" borderId="14" xfId="0" applyFont="1" applyFill="1" applyBorder="1" applyAlignment="1">
      <alignment horizontal="center"/>
    </xf>
    <xf numFmtId="0" fontId="10" fillId="2" borderId="1" xfId="3" applyFont="1" applyFill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9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2" fillId="2" borderId="23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168" fontId="11" fillId="2" borderId="0" xfId="0" applyNumberFormat="1" applyFont="1" applyFill="1" applyAlignment="1">
      <alignment horizontal="center" vertical="center"/>
    </xf>
    <xf numFmtId="0" fontId="10" fillId="2" borderId="0" xfId="3" applyFont="1" applyFill="1" applyBorder="1" applyAlignment="1">
      <alignment horizontal="center" vertical="center"/>
    </xf>
    <xf numFmtId="0" fontId="10" fillId="2" borderId="1" xfId="3" applyFont="1" applyFill="1" applyBorder="1" applyAlignment="1">
      <alignment horizontal="center" vertical="center"/>
    </xf>
  </cellXfs>
  <cellStyles count="4">
    <cellStyle name="Currency" xfId="1" builtinId="4"/>
    <cellStyle name="Heading 1" xfId="3" builtinId="1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44450</xdr:colOff>
      <xdr:row>6</xdr:row>
      <xdr:rowOff>38100</xdr:rowOff>
    </xdr:from>
    <xdr:to>
      <xdr:col>5</xdr:col>
      <xdr:colOff>44450</xdr:colOff>
      <xdr:row>19</xdr:row>
      <xdr:rowOff>31750</xdr:rowOff>
    </xdr:to>
    <xdr:pic>
      <xdr:nvPicPr>
        <xdr:cNvPr id="3" name="Picture 2" descr="Seniors lying on floaties in wat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alphaModFix amt="8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r="42706"/>
        <a:stretch/>
      </xdr:blipFill>
      <xdr:spPr>
        <a:xfrm>
          <a:off x="654050" y="1231900"/>
          <a:ext cx="2438400" cy="2393950"/>
        </a:xfrm>
        <a:prstGeom prst="rect">
          <a:avLst/>
        </a:prstGeom>
        <a:ln w="38100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584200</xdr:colOff>
      <xdr:row>6</xdr:row>
      <xdr:rowOff>26045</xdr:rowOff>
    </xdr:from>
    <xdr:to>
      <xdr:col>10</xdr:col>
      <xdr:colOff>575774</xdr:colOff>
      <xdr:row>19</xdr:row>
      <xdr:rowOff>6350</xdr:rowOff>
    </xdr:to>
    <xdr:pic>
      <xdr:nvPicPr>
        <xdr:cNvPr id="5" name="Picture 4" descr="Close-up of using a drill with protective glove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270" t="1999" r="12197" b="3285"/>
        <a:stretch/>
      </xdr:blipFill>
      <xdr:spPr>
        <a:xfrm>
          <a:off x="4241800" y="1219845"/>
          <a:ext cx="2429974" cy="2380605"/>
        </a:xfrm>
        <a:prstGeom prst="rect">
          <a:avLst/>
        </a:prstGeom>
        <a:ln w="381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20</xdr:row>
          <xdr:rowOff>38100</xdr:rowOff>
        </xdr:from>
        <xdr:to>
          <xdr:col>7</xdr:col>
          <xdr:colOff>603250</xdr:colOff>
          <xdr:row>22</xdr:row>
          <xdr:rowOff>25400</xdr:rowOff>
        </xdr:to>
        <xdr:sp macro="" textlink="">
          <xdr:nvSpPr>
            <xdr:cNvPr id="5121" name="Intro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1866900</xdr:colOff>
          <xdr:row>21</xdr:row>
          <xdr:rowOff>6350</xdr:rowOff>
        </xdr:from>
        <xdr:to>
          <xdr:col>4</xdr:col>
          <xdr:colOff>565150</xdr:colOff>
          <xdr:row>22</xdr:row>
          <xdr:rowOff>177800</xdr:rowOff>
        </xdr:to>
        <xdr:sp macro="" textlink="">
          <xdr:nvSpPr>
            <xdr:cNvPr id="1025" name="Conclusion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F95ED-FF9A-4799-A1F4-2529185F0CE6}">
  <sheetPr codeName="Sheet2"/>
  <dimension ref="A1:L23"/>
  <sheetViews>
    <sheetView tabSelected="1" zoomScaleNormal="100" workbookViewId="0">
      <selection activeCell="Q4" sqref="Q4"/>
    </sheetView>
  </sheetViews>
  <sheetFormatPr defaultRowHeight="14.5" x14ac:dyDescent="0.35"/>
  <sheetData>
    <row r="1" spans="1:12" ht="15" thickBot="1" x14ac:dyDescent="0.4">
      <c r="A1" s="76" t="s">
        <v>48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</row>
    <row r="2" spans="1:12" ht="15.5" thickTop="1" thickBot="1" x14ac:dyDescent="0.4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</row>
    <row r="3" spans="1:12" ht="15.5" thickTop="1" thickBot="1" x14ac:dyDescent="0.4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</row>
    <row r="4" spans="1:12" ht="15" thickTop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</row>
    <row r="5" spans="1:12" x14ac:dyDescent="0.35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</row>
    <row r="6" spans="1:12" ht="18.5" thickBot="1" x14ac:dyDescent="0.45">
      <c r="A6" s="59"/>
      <c r="B6" s="77" t="s">
        <v>63</v>
      </c>
      <c r="C6" s="77"/>
      <c r="D6" s="77"/>
      <c r="E6" s="77"/>
      <c r="F6" s="78" t="s">
        <v>62</v>
      </c>
      <c r="G6" s="78"/>
      <c r="H6" s="78" t="s">
        <v>61</v>
      </c>
      <c r="I6" s="78"/>
      <c r="J6" s="78"/>
      <c r="K6" s="78"/>
      <c r="L6" s="59"/>
    </row>
    <row r="7" spans="1:12" x14ac:dyDescent="0.35">
      <c r="A7" s="59"/>
      <c r="B7" s="67"/>
      <c r="C7" s="67"/>
      <c r="D7" s="67"/>
      <c r="E7" s="67"/>
      <c r="F7" s="59"/>
      <c r="G7" s="59"/>
      <c r="H7" s="68"/>
      <c r="I7" s="69"/>
      <c r="J7" s="69"/>
      <c r="K7" s="70"/>
      <c r="L7" s="59"/>
    </row>
    <row r="8" spans="1:12" x14ac:dyDescent="0.35">
      <c r="A8" s="59"/>
      <c r="B8" s="67"/>
      <c r="C8" s="67"/>
      <c r="D8" s="67"/>
      <c r="E8" s="67"/>
      <c r="F8" s="59"/>
      <c r="G8" s="59"/>
      <c r="H8" s="71"/>
      <c r="I8" s="67"/>
      <c r="J8" s="67"/>
      <c r="K8" s="72"/>
      <c r="L8" s="59"/>
    </row>
    <row r="9" spans="1:12" x14ac:dyDescent="0.35">
      <c r="A9" s="59"/>
      <c r="B9" s="67"/>
      <c r="C9" s="67"/>
      <c r="D9" s="67"/>
      <c r="E9" s="67"/>
      <c r="F9" s="59"/>
      <c r="G9" s="59"/>
      <c r="H9" s="71"/>
      <c r="I9" s="67"/>
      <c r="J9" s="67"/>
      <c r="K9" s="72"/>
      <c r="L9" s="59"/>
    </row>
    <row r="10" spans="1:12" x14ac:dyDescent="0.35">
      <c r="A10" s="59"/>
      <c r="B10" s="67"/>
      <c r="C10" s="67"/>
      <c r="D10" s="67"/>
      <c r="E10" s="67"/>
      <c r="F10" s="59"/>
      <c r="G10" s="59"/>
      <c r="H10" s="71"/>
      <c r="I10" s="67"/>
      <c r="J10" s="67"/>
      <c r="K10" s="72"/>
      <c r="L10" s="59"/>
    </row>
    <row r="11" spans="1:12" x14ac:dyDescent="0.35">
      <c r="A11" s="59"/>
      <c r="B11" s="67"/>
      <c r="C11" s="67"/>
      <c r="D11" s="67"/>
      <c r="E11" s="67"/>
      <c r="F11" s="59"/>
      <c r="G11" s="59"/>
      <c r="H11" s="71"/>
      <c r="I11" s="67"/>
      <c r="J11" s="67"/>
      <c r="K11" s="72"/>
      <c r="L11" s="59"/>
    </row>
    <row r="12" spans="1:12" x14ac:dyDescent="0.35">
      <c r="A12" s="59"/>
      <c r="B12" s="67"/>
      <c r="C12" s="67"/>
      <c r="D12" s="67"/>
      <c r="E12" s="67"/>
      <c r="F12" s="59"/>
      <c r="G12" s="59"/>
      <c r="H12" s="71"/>
      <c r="I12" s="67"/>
      <c r="J12" s="67"/>
      <c r="K12" s="72"/>
      <c r="L12" s="59"/>
    </row>
    <row r="13" spans="1:12" x14ac:dyDescent="0.35">
      <c r="A13" s="59"/>
      <c r="B13" s="67"/>
      <c r="C13" s="67"/>
      <c r="D13" s="67"/>
      <c r="E13" s="67"/>
      <c r="F13" s="59"/>
      <c r="G13" s="59"/>
      <c r="H13" s="71"/>
      <c r="I13" s="67"/>
      <c r="J13" s="67"/>
      <c r="K13" s="72"/>
      <c r="L13" s="59"/>
    </row>
    <row r="14" spans="1:12" x14ac:dyDescent="0.35">
      <c r="A14" s="59"/>
      <c r="B14" s="67"/>
      <c r="C14" s="67"/>
      <c r="D14" s="67"/>
      <c r="E14" s="67"/>
      <c r="F14" s="59"/>
      <c r="G14" s="59"/>
      <c r="H14" s="71"/>
      <c r="I14" s="67"/>
      <c r="J14" s="67"/>
      <c r="K14" s="72"/>
      <c r="L14" s="59"/>
    </row>
    <row r="15" spans="1:12" x14ac:dyDescent="0.35">
      <c r="A15" s="59"/>
      <c r="B15" s="67"/>
      <c r="C15" s="67"/>
      <c r="D15" s="67"/>
      <c r="E15" s="67"/>
      <c r="F15" s="59"/>
      <c r="G15" s="59"/>
      <c r="H15" s="71"/>
      <c r="I15" s="67"/>
      <c r="J15" s="67"/>
      <c r="K15" s="72"/>
      <c r="L15" s="59"/>
    </row>
    <row r="16" spans="1:12" x14ac:dyDescent="0.35">
      <c r="A16" s="59"/>
      <c r="B16" s="67"/>
      <c r="C16" s="67"/>
      <c r="D16" s="67"/>
      <c r="E16" s="67"/>
      <c r="F16" s="59"/>
      <c r="G16" s="59"/>
      <c r="H16" s="71"/>
      <c r="I16" s="67"/>
      <c r="J16" s="67"/>
      <c r="K16" s="72"/>
      <c r="L16" s="59"/>
    </row>
    <row r="17" spans="1:12" x14ac:dyDescent="0.35">
      <c r="A17" s="59"/>
      <c r="B17" s="67"/>
      <c r="C17" s="67"/>
      <c r="D17" s="67"/>
      <c r="E17" s="67"/>
      <c r="F17" s="59"/>
      <c r="G17" s="59"/>
      <c r="H17" s="71"/>
      <c r="I17" s="67"/>
      <c r="J17" s="67"/>
      <c r="K17" s="72"/>
      <c r="L17" s="59"/>
    </row>
    <row r="18" spans="1:12" x14ac:dyDescent="0.35">
      <c r="A18" s="59"/>
      <c r="B18" s="67"/>
      <c r="C18" s="67"/>
      <c r="D18" s="67"/>
      <c r="E18" s="67"/>
      <c r="F18" s="59"/>
      <c r="G18" s="59"/>
      <c r="H18" s="71"/>
      <c r="I18" s="67"/>
      <c r="J18" s="67"/>
      <c r="K18" s="72"/>
      <c r="L18" s="59"/>
    </row>
    <row r="19" spans="1:12" ht="15" thickBot="1" x14ac:dyDescent="0.4">
      <c r="A19" s="59"/>
      <c r="B19" s="67"/>
      <c r="C19" s="67"/>
      <c r="D19" s="67"/>
      <c r="E19" s="67"/>
      <c r="F19" s="59"/>
      <c r="G19" s="59"/>
      <c r="H19" s="73"/>
      <c r="I19" s="60"/>
      <c r="J19" s="60"/>
      <c r="K19" s="74"/>
      <c r="L19" s="59"/>
    </row>
    <row r="20" spans="1:12" x14ac:dyDescent="0.35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</row>
    <row r="21" spans="1:12" x14ac:dyDescent="0.35">
      <c r="A21" s="59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</row>
    <row r="22" spans="1:12" x14ac:dyDescent="0.35">
      <c r="A22" s="59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</row>
    <row r="23" spans="1:12" x14ac:dyDescent="0.35">
      <c r="A23" s="59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</row>
  </sheetData>
  <mergeCells count="4">
    <mergeCell ref="A1:L3"/>
    <mergeCell ref="B6:E6"/>
    <mergeCell ref="H6:K6"/>
    <mergeCell ref="F6:G6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21" r:id="rId4" name="IntroButton">
          <controlPr defaultSize="0" autoLine="0" r:id="rId5">
            <anchor moveWithCells="1">
              <from>
                <xdr:col>4</xdr:col>
                <xdr:colOff>12700</xdr:colOff>
                <xdr:row>20</xdr:row>
                <xdr:rowOff>38100</xdr:rowOff>
              </from>
              <to>
                <xdr:col>7</xdr:col>
                <xdr:colOff>603250</xdr:colOff>
                <xdr:row>22</xdr:row>
                <xdr:rowOff>25400</xdr:rowOff>
              </to>
            </anchor>
          </controlPr>
        </control>
      </mc:Choice>
      <mc:Fallback>
        <control shapeId="5121" r:id="rId4" name="Intro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6490-4056-4ACF-BD96-66221EDCFBB7}">
  <sheetPr codeName="Sheet3"/>
  <dimension ref="A1:I28"/>
  <sheetViews>
    <sheetView workbookViewId="0">
      <selection activeCell="D34" sqref="D34"/>
    </sheetView>
  </sheetViews>
  <sheetFormatPr defaultRowHeight="14.5" x14ac:dyDescent="0.35"/>
  <cols>
    <col min="3" max="3" width="13.26953125" bestFit="1" customWidth="1"/>
  </cols>
  <sheetData>
    <row r="1" spans="1:9" ht="15.5" x14ac:dyDescent="0.35">
      <c r="A1" s="79" t="s">
        <v>27</v>
      </c>
      <c r="B1" s="80"/>
      <c r="C1" s="80"/>
      <c r="D1" s="80"/>
      <c r="E1" s="80"/>
      <c r="F1" s="80"/>
      <c r="G1" s="80"/>
      <c r="H1" s="80"/>
      <c r="I1" s="81"/>
    </row>
    <row r="2" spans="1:9" x14ac:dyDescent="0.35">
      <c r="A2" s="82" t="s">
        <v>28</v>
      </c>
      <c r="B2" s="83"/>
      <c r="C2" s="83"/>
      <c r="D2" s="83"/>
      <c r="E2" s="83"/>
      <c r="F2" s="83"/>
      <c r="G2" s="83"/>
      <c r="H2" s="83"/>
      <c r="I2" s="84"/>
    </row>
    <row r="3" spans="1:9" x14ac:dyDescent="0.35">
      <c r="A3" s="38"/>
      <c r="B3" s="3"/>
      <c r="C3" s="3"/>
      <c r="D3" s="3"/>
      <c r="E3" s="3"/>
      <c r="F3" s="3"/>
      <c r="G3" s="39"/>
      <c r="H3" s="3"/>
      <c r="I3" s="40"/>
    </row>
    <row r="4" spans="1:9" x14ac:dyDescent="0.35">
      <c r="A4" s="41" t="s">
        <v>29</v>
      </c>
      <c r="B4" s="3"/>
      <c r="C4" s="3" t="s">
        <v>64</v>
      </c>
      <c r="D4" s="3"/>
      <c r="E4" s="3"/>
      <c r="F4" s="3"/>
      <c r="G4" s="42"/>
      <c r="H4" s="3"/>
      <c r="I4" s="43" t="s">
        <v>30</v>
      </c>
    </row>
    <row r="5" spans="1:9" x14ac:dyDescent="0.35">
      <c r="A5" s="41" t="s">
        <v>31</v>
      </c>
      <c r="B5" s="3"/>
      <c r="C5" s="44">
        <v>111111111</v>
      </c>
      <c r="D5" s="3"/>
      <c r="E5" s="3"/>
      <c r="F5" s="3"/>
      <c r="G5" s="39">
        <v>36526</v>
      </c>
      <c r="H5" s="3"/>
      <c r="I5" s="45" t="s">
        <v>32</v>
      </c>
    </row>
    <row r="6" spans="1:9" x14ac:dyDescent="0.35">
      <c r="A6" s="41" t="s">
        <v>33</v>
      </c>
      <c r="B6" s="3"/>
      <c r="C6" s="3" t="s">
        <v>66</v>
      </c>
      <c r="D6" s="3"/>
      <c r="E6" s="3"/>
      <c r="F6" s="3"/>
      <c r="G6" s="39">
        <v>43991</v>
      </c>
      <c r="H6" s="3"/>
      <c r="I6" s="45" t="s">
        <v>34</v>
      </c>
    </row>
    <row r="7" spans="1:9" x14ac:dyDescent="0.35">
      <c r="A7" s="41" t="s">
        <v>35</v>
      </c>
      <c r="B7" s="3"/>
      <c r="C7" s="3" t="s">
        <v>40</v>
      </c>
      <c r="D7" s="3"/>
      <c r="E7" s="3"/>
      <c r="F7" s="3"/>
      <c r="G7" s="46">
        <v>52026</v>
      </c>
      <c r="H7" s="3"/>
      <c r="I7" s="45" t="s">
        <v>37</v>
      </c>
    </row>
    <row r="8" spans="1:9" x14ac:dyDescent="0.35">
      <c r="A8" s="41" t="s">
        <v>38</v>
      </c>
      <c r="B8" s="3"/>
      <c r="C8" s="3" t="s">
        <v>65</v>
      </c>
      <c r="D8" s="3"/>
      <c r="E8" s="3"/>
      <c r="F8" s="3"/>
      <c r="G8" s="42"/>
      <c r="H8" s="3"/>
      <c r="I8" s="45"/>
    </row>
    <row r="9" spans="1:9" x14ac:dyDescent="0.35">
      <c r="A9" s="41" t="s">
        <v>39</v>
      </c>
      <c r="B9" s="3"/>
      <c r="C9" s="3" t="s">
        <v>36</v>
      </c>
      <c r="D9" s="3"/>
      <c r="E9" s="3"/>
      <c r="F9" s="3"/>
      <c r="G9" s="39">
        <v>37162</v>
      </c>
      <c r="H9" s="3"/>
      <c r="I9" s="45" t="s">
        <v>41</v>
      </c>
    </row>
    <row r="10" spans="1:9" x14ac:dyDescent="0.35">
      <c r="A10" s="38"/>
      <c r="B10" s="3"/>
      <c r="C10" s="3"/>
      <c r="D10" s="3"/>
      <c r="E10" s="3"/>
      <c r="F10" s="3"/>
      <c r="G10" s="3"/>
      <c r="H10" s="3"/>
      <c r="I10" s="40"/>
    </row>
    <row r="11" spans="1:9" x14ac:dyDescent="0.35">
      <c r="A11" s="38"/>
      <c r="B11" s="3"/>
      <c r="C11" s="3"/>
      <c r="D11" s="3"/>
      <c r="E11" s="3"/>
      <c r="F11" s="3"/>
      <c r="G11" s="3"/>
      <c r="H11" s="3"/>
      <c r="I11" s="40"/>
    </row>
    <row r="12" spans="1:9" x14ac:dyDescent="0.35">
      <c r="A12" s="82" t="s">
        <v>42</v>
      </c>
      <c r="B12" s="83"/>
      <c r="C12" s="83"/>
      <c r="D12" s="83"/>
      <c r="E12" s="83"/>
      <c r="F12" s="83"/>
      <c r="G12" s="83"/>
      <c r="H12" s="83"/>
      <c r="I12" s="84"/>
    </row>
    <row r="13" spans="1:9" x14ac:dyDescent="0.35">
      <c r="A13" s="38"/>
      <c r="B13" s="3"/>
      <c r="C13" s="3"/>
      <c r="D13" s="47"/>
      <c r="E13" s="3"/>
      <c r="F13" s="3"/>
      <c r="G13" s="3"/>
      <c r="H13" s="3"/>
      <c r="I13" s="40"/>
    </row>
    <row r="14" spans="1:9" x14ac:dyDescent="0.35">
      <c r="A14" s="48" t="s">
        <v>43</v>
      </c>
      <c r="B14" s="3"/>
      <c r="C14" s="3"/>
      <c r="D14" s="3"/>
      <c r="E14" s="3"/>
      <c r="F14" s="3"/>
      <c r="G14" s="3"/>
      <c r="H14" s="3"/>
      <c r="I14" s="40"/>
    </row>
    <row r="15" spans="1:9" x14ac:dyDescent="0.35">
      <c r="A15" s="38"/>
      <c r="B15" s="3"/>
      <c r="C15" s="3"/>
      <c r="D15" s="3"/>
      <c r="E15" s="3"/>
      <c r="F15" s="3"/>
      <c r="G15" s="3"/>
      <c r="H15" s="3"/>
      <c r="I15" s="40"/>
    </row>
    <row r="16" spans="1:9" ht="15" thickBot="1" x14ac:dyDescent="0.4">
      <c r="A16" s="38"/>
      <c r="B16" s="6">
        <v>2014</v>
      </c>
      <c r="C16" s="49">
        <v>100000</v>
      </c>
      <c r="D16" s="3"/>
      <c r="E16" s="3"/>
      <c r="F16" s="3"/>
      <c r="G16" s="3"/>
      <c r="H16" s="3"/>
      <c r="I16" s="40"/>
    </row>
    <row r="17" spans="1:9" ht="15" thickBot="1" x14ac:dyDescent="0.4">
      <c r="A17" s="38"/>
      <c r="B17" s="6">
        <v>2015</v>
      </c>
      <c r="C17" s="49">
        <v>200000</v>
      </c>
      <c r="D17" s="50">
        <f>(C17-C16)/C16</f>
        <v>1</v>
      </c>
      <c r="E17" s="3"/>
      <c r="F17" s="3"/>
      <c r="G17" s="3"/>
      <c r="H17" s="39"/>
      <c r="I17" s="40"/>
    </row>
    <row r="18" spans="1:9" ht="15" thickBot="1" x14ac:dyDescent="0.4">
      <c r="A18" s="38"/>
      <c r="B18" s="6">
        <v>2016</v>
      </c>
      <c r="C18" s="49">
        <v>300000</v>
      </c>
      <c r="D18" s="50">
        <f t="shared" ref="D18:D20" si="0">(C18-C17)/C17</f>
        <v>0.5</v>
      </c>
      <c r="E18" s="3"/>
      <c r="F18" s="3"/>
      <c r="G18" s="3"/>
      <c r="H18" s="3"/>
      <c r="I18" s="40"/>
    </row>
    <row r="19" spans="1:9" ht="15" thickBot="1" x14ac:dyDescent="0.4">
      <c r="A19" s="38"/>
      <c r="B19" s="6">
        <v>2017</v>
      </c>
      <c r="C19" s="49">
        <v>500000</v>
      </c>
      <c r="D19" s="50">
        <f t="shared" si="0"/>
        <v>0.66666666666666663</v>
      </c>
      <c r="E19" s="3"/>
      <c r="F19" s="3"/>
      <c r="G19" s="3"/>
      <c r="H19" s="3"/>
      <c r="I19" s="40"/>
    </row>
    <row r="20" spans="1:9" x14ac:dyDescent="0.35">
      <c r="A20" s="38"/>
      <c r="B20" s="6">
        <v>2018</v>
      </c>
      <c r="C20" s="51">
        <v>1000200</v>
      </c>
      <c r="D20" s="50">
        <f t="shared" si="0"/>
        <v>1.0004</v>
      </c>
      <c r="E20" s="3"/>
      <c r="F20" s="3"/>
      <c r="G20" s="3"/>
      <c r="H20" s="3"/>
      <c r="I20" s="40"/>
    </row>
    <row r="21" spans="1:9" ht="15" thickBot="1" x14ac:dyDescent="0.4">
      <c r="A21" s="38"/>
      <c r="B21" s="3"/>
      <c r="C21" s="3"/>
      <c r="D21" s="49"/>
      <c r="E21" s="3"/>
      <c r="F21" s="3"/>
      <c r="G21" s="3"/>
      <c r="H21" s="3"/>
      <c r="I21" s="40"/>
    </row>
    <row r="22" spans="1:9" ht="15" thickBot="1" x14ac:dyDescent="0.4">
      <c r="A22" s="41" t="s">
        <v>44</v>
      </c>
      <c r="B22" s="3"/>
      <c r="C22" s="5">
        <f>AVERAGE(C16:C20)</f>
        <v>420040</v>
      </c>
      <c r="D22" s="3"/>
      <c r="E22" s="3"/>
      <c r="F22" s="3"/>
      <c r="G22" s="3"/>
      <c r="H22" s="3"/>
      <c r="I22" s="40"/>
    </row>
    <row r="23" spans="1:9" ht="15" thickBot="1" x14ac:dyDescent="0.4">
      <c r="A23" s="41" t="s">
        <v>45</v>
      </c>
      <c r="B23" s="3"/>
      <c r="C23" s="3"/>
      <c r="D23" s="49"/>
      <c r="E23" s="3"/>
      <c r="F23" s="3"/>
      <c r="G23" s="3"/>
      <c r="H23" s="3"/>
      <c r="I23" s="40"/>
    </row>
    <row r="24" spans="1:9" ht="15" thickBot="1" x14ac:dyDescent="0.4">
      <c r="A24" s="41" t="s">
        <v>46</v>
      </c>
      <c r="B24" s="3"/>
      <c r="C24" s="3"/>
      <c r="D24" s="52">
        <f>AVERAGE(D17:D20)</f>
        <v>0.79176666666666662</v>
      </c>
      <c r="E24" s="3"/>
      <c r="F24" s="3"/>
      <c r="G24" s="3"/>
      <c r="H24" s="3"/>
      <c r="I24" s="40"/>
    </row>
    <row r="25" spans="1:9" x14ac:dyDescent="0.35">
      <c r="A25" s="41"/>
      <c r="B25" s="3"/>
      <c r="C25" s="3"/>
      <c r="D25" s="53"/>
      <c r="E25" s="3"/>
      <c r="F25" s="3"/>
      <c r="G25" s="3"/>
      <c r="H25" s="3"/>
      <c r="I25" s="40"/>
    </row>
    <row r="26" spans="1:9" x14ac:dyDescent="0.35">
      <c r="A26" s="41"/>
      <c r="B26" s="3"/>
      <c r="C26" s="3"/>
      <c r="D26" s="53"/>
      <c r="E26" s="3"/>
      <c r="F26" s="3"/>
      <c r="G26" s="3"/>
      <c r="H26" s="3"/>
      <c r="I26" s="40"/>
    </row>
    <row r="27" spans="1:9" x14ac:dyDescent="0.35">
      <c r="A27" s="41"/>
      <c r="B27" s="6" t="s">
        <v>47</v>
      </c>
      <c r="C27" s="6"/>
      <c r="D27" s="54"/>
      <c r="E27" s="3"/>
      <c r="F27" s="55">
        <v>0.06</v>
      </c>
      <c r="G27" s="3"/>
      <c r="H27" s="3"/>
      <c r="I27" s="40"/>
    </row>
    <row r="28" spans="1:9" ht="15" thickBot="1" x14ac:dyDescent="0.4">
      <c r="A28" s="56"/>
      <c r="B28" s="36"/>
      <c r="C28" s="36"/>
      <c r="D28" s="36"/>
      <c r="E28" s="57"/>
      <c r="F28" s="36"/>
      <c r="G28" s="36"/>
      <c r="H28" s="36"/>
      <c r="I28" s="58"/>
    </row>
  </sheetData>
  <mergeCells count="3">
    <mergeCell ref="A1:I1"/>
    <mergeCell ref="A2:I2"/>
    <mergeCell ref="A12:I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3C9E-5B2B-47D5-B9FB-AF751C95144C}">
  <sheetPr codeName="Sheet4"/>
  <dimension ref="A1:J23"/>
  <sheetViews>
    <sheetView workbookViewId="0">
      <selection sqref="A1:I1"/>
    </sheetView>
  </sheetViews>
  <sheetFormatPr defaultRowHeight="14.5" x14ac:dyDescent="0.35"/>
  <cols>
    <col min="3" max="3" width="9.6328125" bestFit="1" customWidth="1"/>
    <col min="7" max="7" width="9.6328125" bestFit="1" customWidth="1"/>
    <col min="10" max="10" width="10" bestFit="1" customWidth="1"/>
  </cols>
  <sheetData>
    <row r="1" spans="1:10" ht="15.5" x14ac:dyDescent="0.35">
      <c r="A1" s="85" t="s">
        <v>0</v>
      </c>
      <c r="B1" s="86"/>
      <c r="C1" s="86"/>
      <c r="D1" s="86"/>
      <c r="E1" s="86"/>
      <c r="F1" s="86"/>
      <c r="G1" s="86"/>
      <c r="H1" s="86"/>
      <c r="I1" s="86"/>
      <c r="J1" s="1"/>
    </row>
    <row r="2" spans="1:10" ht="15" thickBot="1" x14ac:dyDescent="0.4">
      <c r="A2" s="2"/>
      <c r="B2" s="3"/>
      <c r="C2" s="3"/>
      <c r="D2" s="3"/>
      <c r="E2" s="3"/>
      <c r="F2" s="3"/>
      <c r="G2" s="3"/>
      <c r="H2" s="3"/>
      <c r="I2" s="3"/>
      <c r="J2" s="4"/>
    </row>
    <row r="3" spans="1:10" ht="15" thickBot="1" x14ac:dyDescent="0.4">
      <c r="A3" s="87" t="s">
        <v>1</v>
      </c>
      <c r="B3" s="88"/>
      <c r="C3" s="88"/>
      <c r="D3" s="88"/>
      <c r="E3" s="88"/>
      <c r="F3" s="88"/>
      <c r="G3" s="5">
        <f>'Data Entry'!C22</f>
        <v>420040</v>
      </c>
      <c r="H3" s="3"/>
      <c r="I3" s="3"/>
      <c r="J3" s="4"/>
    </row>
    <row r="4" spans="1:10" x14ac:dyDescent="0.35">
      <c r="A4" s="2"/>
      <c r="B4" s="6"/>
      <c r="C4" s="3"/>
      <c r="D4" s="3"/>
      <c r="E4" s="3"/>
      <c r="F4" s="3"/>
      <c r="G4" s="3"/>
      <c r="H4" s="3"/>
      <c r="I4" s="3"/>
      <c r="J4" s="4"/>
    </row>
    <row r="5" spans="1:10" x14ac:dyDescent="0.35">
      <c r="A5" s="2"/>
      <c r="B5" s="3"/>
      <c r="C5" s="3"/>
      <c r="D5" s="3"/>
      <c r="E5" s="3"/>
      <c r="F5" s="3"/>
      <c r="G5" s="3"/>
      <c r="H5" s="3"/>
      <c r="I5" s="3"/>
      <c r="J5" s="4"/>
    </row>
    <row r="6" spans="1:10" x14ac:dyDescent="0.35">
      <c r="A6" s="7" t="s">
        <v>2</v>
      </c>
      <c r="B6" s="3"/>
      <c r="C6" s="3"/>
      <c r="D6" s="3"/>
      <c r="E6" s="3"/>
      <c r="F6" s="3"/>
      <c r="G6" s="8"/>
      <c r="H6" s="3"/>
      <c r="I6" s="9" t="s">
        <v>3</v>
      </c>
      <c r="J6" s="4"/>
    </row>
    <row r="7" spans="1:10" ht="15" thickBot="1" x14ac:dyDescent="0.4">
      <c r="A7" s="10" t="s">
        <v>4</v>
      </c>
      <c r="B7" s="3"/>
      <c r="C7" s="3"/>
      <c r="D7" s="3"/>
      <c r="E7" s="3"/>
      <c r="F7" s="3"/>
      <c r="G7" s="11"/>
      <c r="H7" s="3"/>
      <c r="I7" s="12" t="s">
        <v>4</v>
      </c>
      <c r="J7" s="4"/>
    </row>
    <row r="8" spans="1:10" ht="15" thickBot="1" x14ac:dyDescent="0.4">
      <c r="A8" s="13" t="s">
        <v>5</v>
      </c>
      <c r="B8" s="3"/>
      <c r="C8" s="14">
        <f>DAYS360('Data Entry'!G5,'Data Entry'!G7,FALSE)/360</f>
        <v>42.43888888888889</v>
      </c>
      <c r="D8" s="3"/>
      <c r="E8" s="3"/>
      <c r="F8" s="3"/>
      <c r="G8" s="15">
        <v>65</v>
      </c>
      <c r="H8" s="3"/>
      <c r="I8" s="16" t="s">
        <v>5</v>
      </c>
      <c r="J8" s="4"/>
    </row>
    <row r="9" spans="1:10" x14ac:dyDescent="0.35">
      <c r="A9" s="13" t="s">
        <v>6</v>
      </c>
      <c r="B9" s="3"/>
      <c r="C9" s="17">
        <f>DAYS360('Data Entry'!G9,'Data Entry'!G7,FALSE)/360</f>
        <v>40.697222222222223</v>
      </c>
      <c r="D9" s="3"/>
      <c r="E9" s="3"/>
      <c r="F9" s="3"/>
      <c r="G9" s="18">
        <f>DAYS360('Data Entry'!G9,Work!B1,FALSE)/360</f>
        <v>63.258333333333333</v>
      </c>
      <c r="H9" s="3"/>
      <c r="I9" s="16" t="s">
        <v>6</v>
      </c>
      <c r="J9" s="4"/>
    </row>
    <row r="10" spans="1:10" x14ac:dyDescent="0.35">
      <c r="A10" s="10" t="s">
        <v>7</v>
      </c>
      <c r="B10" s="3"/>
      <c r="C10" s="17">
        <f>MIN(30,DAYS360('Data Entry'!G6,'Data Entry'!G7,FALSE)/360)</f>
        <v>22</v>
      </c>
      <c r="D10" s="3"/>
      <c r="E10" s="3"/>
      <c r="F10" s="3"/>
      <c r="G10" s="19">
        <f>MIN(30,DAYS360('Data Entry'!G6,Work!B1,FALSE)/360)</f>
        <v>30</v>
      </c>
      <c r="H10" s="3"/>
      <c r="I10" s="12" t="s">
        <v>7</v>
      </c>
      <c r="J10" s="4" t="s">
        <v>8</v>
      </c>
    </row>
    <row r="11" spans="1:10" ht="15" thickBot="1" x14ac:dyDescent="0.4">
      <c r="A11" s="10" t="s">
        <v>9</v>
      </c>
      <c r="B11" s="3"/>
      <c r="C11" s="20">
        <f>(DAYS360('Data Entry'!G7,Work!B1,FALSE)/360)*12</f>
        <v>270.73333333333335</v>
      </c>
      <c r="D11" s="3"/>
      <c r="E11" s="3"/>
      <c r="F11" s="3"/>
      <c r="G11" s="21">
        <v>0</v>
      </c>
      <c r="H11" s="3"/>
      <c r="I11" s="12" t="s">
        <v>9</v>
      </c>
      <c r="J11" s="4"/>
    </row>
    <row r="12" spans="1:10" x14ac:dyDescent="0.35">
      <c r="A12" s="2"/>
      <c r="B12" s="3"/>
      <c r="C12" s="3"/>
      <c r="D12" s="3"/>
      <c r="E12" s="3"/>
      <c r="F12" s="3"/>
      <c r="G12" s="22"/>
      <c r="H12" s="3"/>
      <c r="I12" s="22"/>
      <c r="J12" s="4"/>
    </row>
    <row r="13" spans="1:10" x14ac:dyDescent="0.35">
      <c r="A13" s="2"/>
      <c r="B13" s="3"/>
      <c r="C13" s="3"/>
      <c r="D13" s="3"/>
      <c r="E13" s="3"/>
      <c r="F13" s="3"/>
      <c r="G13" s="11"/>
      <c r="H13" s="3"/>
      <c r="I13" s="11"/>
      <c r="J13" s="4"/>
    </row>
    <row r="14" spans="1:10" ht="15" thickBot="1" x14ac:dyDescent="0.4">
      <c r="A14" s="2"/>
      <c r="B14" s="3"/>
      <c r="C14" s="3"/>
      <c r="D14" s="3"/>
      <c r="E14" s="3"/>
      <c r="F14" s="3"/>
      <c r="G14" s="3"/>
      <c r="H14" s="3"/>
      <c r="I14" s="3"/>
      <c r="J14" s="4"/>
    </row>
    <row r="15" spans="1:10" ht="15" thickBot="1" x14ac:dyDescent="0.4">
      <c r="A15" s="10" t="s">
        <v>10</v>
      </c>
      <c r="B15" s="3"/>
      <c r="C15" s="5">
        <f>((0.8*Work!B10*(MIN(30,C10))/30)/12)*MAX(0.4,(1-((0.05*C11)*0.1)))</f>
        <v>567.11111111111109</v>
      </c>
      <c r="D15" s="3"/>
      <c r="E15" s="3"/>
      <c r="F15" s="3"/>
      <c r="G15" s="5">
        <f>(0.8*Work!B6*(MIN(30,G10)/30))/12</f>
        <v>1933.3333333333333</v>
      </c>
      <c r="H15" s="3"/>
      <c r="I15" s="12" t="s">
        <v>10</v>
      </c>
      <c r="J15" s="4"/>
    </row>
    <row r="16" spans="1:10" ht="15" thickBot="1" x14ac:dyDescent="0.4">
      <c r="A16" s="2"/>
      <c r="B16" s="3"/>
      <c r="C16" s="3"/>
      <c r="D16" s="3"/>
      <c r="E16" s="3"/>
      <c r="F16" s="11"/>
      <c r="G16" s="11"/>
      <c r="H16" s="11"/>
      <c r="I16" s="11"/>
      <c r="J16" s="4"/>
    </row>
    <row r="17" spans="1:10" ht="15" thickBot="1" x14ac:dyDescent="0.4">
      <c r="A17" s="10" t="s">
        <v>11</v>
      </c>
      <c r="B17" s="3"/>
      <c r="C17" s="23">
        <f>PV('Data Entry'!F27/12,Work!B19*12,-'Benefits Comparison'!C15,0)</f>
        <v>98204.386885860775</v>
      </c>
      <c r="D17" s="3"/>
      <c r="E17" s="3"/>
      <c r="F17" s="11"/>
      <c r="G17" s="24">
        <f>PV('Data Entry'!F27/12,'Benefits Comparison'!C11,0,Work!B15)</f>
        <v>48331.143460177453</v>
      </c>
      <c r="H17" s="3"/>
      <c r="I17" s="12" t="s">
        <v>11</v>
      </c>
      <c r="J17" s="4"/>
    </row>
    <row r="18" spans="1:10" x14ac:dyDescent="0.35">
      <c r="A18" s="2"/>
      <c r="B18" s="3" t="s">
        <v>12</v>
      </c>
      <c r="C18" s="25">
        <f>1.5*G3</f>
        <v>630060</v>
      </c>
      <c r="D18" s="3"/>
      <c r="E18" s="3"/>
      <c r="F18" s="3"/>
      <c r="G18" s="3"/>
      <c r="H18" s="3"/>
      <c r="I18" s="8"/>
      <c r="J18" s="4"/>
    </row>
    <row r="19" spans="1:10" ht="15" thickBot="1" x14ac:dyDescent="0.4">
      <c r="A19" s="2"/>
      <c r="B19" s="3" t="s">
        <v>13</v>
      </c>
      <c r="C19" s="26">
        <f>SUM(C17:C18)</f>
        <v>728264.38688586082</v>
      </c>
      <c r="D19" s="3"/>
      <c r="E19" s="3"/>
      <c r="F19" s="3"/>
      <c r="G19" s="3"/>
      <c r="H19" s="3"/>
      <c r="I19" s="8"/>
      <c r="J19" s="4"/>
    </row>
    <row r="20" spans="1:10" x14ac:dyDescent="0.35">
      <c r="A20" s="2"/>
      <c r="B20" s="3"/>
      <c r="C20" s="3"/>
      <c r="D20" s="3"/>
      <c r="E20" s="3"/>
      <c r="F20" s="3"/>
      <c r="G20" s="3"/>
      <c r="H20" s="3"/>
      <c r="I20" s="3"/>
      <c r="J20" s="4"/>
    </row>
    <row r="21" spans="1:10" x14ac:dyDescent="0.35">
      <c r="A21" s="10"/>
      <c r="B21" s="3"/>
      <c r="C21" s="27"/>
      <c r="D21" s="3"/>
      <c r="E21" s="3"/>
      <c r="F21" s="3"/>
      <c r="G21" s="3"/>
      <c r="H21" s="3"/>
      <c r="I21" s="3"/>
      <c r="J21" s="4"/>
    </row>
    <row r="22" spans="1:10" x14ac:dyDescent="0.35">
      <c r="A22" s="2" t="s">
        <v>14</v>
      </c>
      <c r="B22" s="3"/>
      <c r="C22" s="3"/>
      <c r="D22" s="3"/>
      <c r="E22" s="3"/>
      <c r="F22" s="3"/>
      <c r="G22" s="3"/>
      <c r="H22" s="3"/>
      <c r="I22" s="3"/>
      <c r="J22" s="4"/>
    </row>
    <row r="23" spans="1:10" x14ac:dyDescent="0.35">
      <c r="A23" s="28"/>
      <c r="B23" s="29"/>
      <c r="C23" s="29"/>
      <c r="D23" s="29"/>
      <c r="E23" s="29"/>
      <c r="F23" s="29"/>
      <c r="G23" s="29"/>
      <c r="H23" s="29"/>
      <c r="I23" s="29"/>
      <c r="J23" s="30"/>
    </row>
  </sheetData>
  <mergeCells count="2">
    <mergeCell ref="A1:I1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0C27F-AB25-4986-9092-BFC27F8E8539}">
  <sheetPr codeName="Sheet5"/>
  <dimension ref="A1:C25"/>
  <sheetViews>
    <sheetView workbookViewId="0"/>
  </sheetViews>
  <sheetFormatPr defaultRowHeight="14.5" x14ac:dyDescent="0.35"/>
  <cols>
    <col min="1" max="1" width="24.1796875" bestFit="1" customWidth="1"/>
    <col min="2" max="2" width="13.6328125" bestFit="1" customWidth="1"/>
  </cols>
  <sheetData>
    <row r="1" spans="1:3" x14ac:dyDescent="0.35">
      <c r="A1" t="s">
        <v>15</v>
      </c>
      <c r="B1" s="31">
        <f>EDATE('Data Entry'!G5,780)</f>
        <v>60268</v>
      </c>
    </row>
    <row r="2" spans="1:3" x14ac:dyDescent="0.35">
      <c r="A2" t="s">
        <v>16</v>
      </c>
      <c r="B2" s="32">
        <f>DAYS360('Data Entry'!G7,Work!B1,FALSE)/360</f>
        <v>22.56111111111111</v>
      </c>
    </row>
    <row r="5" spans="1:3" ht="15" thickBot="1" x14ac:dyDescent="0.4">
      <c r="A5" s="33" t="s">
        <v>17</v>
      </c>
    </row>
    <row r="6" spans="1:3" x14ac:dyDescent="0.35">
      <c r="A6" t="s">
        <v>18</v>
      </c>
      <c r="B6" s="34">
        <f>IF('Data Entry'!C6="Salaried",(('Benefits Comparison'!G3)*(1+'Data Entry'!D24)^(B2)),29000)</f>
        <v>29000</v>
      </c>
    </row>
    <row r="7" spans="1:3" x14ac:dyDescent="0.35">
      <c r="A7" t="s">
        <v>19</v>
      </c>
      <c r="B7" s="35">
        <f>(0.8*B6*(MIN(30,'Benefits Comparison'!G10))/30)/12</f>
        <v>1933.3333333333333</v>
      </c>
    </row>
    <row r="9" spans="1:3" ht="15" thickBot="1" x14ac:dyDescent="0.4">
      <c r="A9" s="33" t="s">
        <v>20</v>
      </c>
    </row>
    <row r="10" spans="1:3" x14ac:dyDescent="0.35">
      <c r="A10" t="s">
        <v>21</v>
      </c>
      <c r="B10">
        <f>IF('Data Entry'!C6="Salaried",'Benefits Comparison'!G3, 29000)</f>
        <v>29000</v>
      </c>
    </row>
    <row r="11" spans="1:3" x14ac:dyDescent="0.35">
      <c r="A11" t="s">
        <v>19</v>
      </c>
      <c r="B11" s="35">
        <f>((0.8*B10*(MIN(30,'Benefits Comparison'!C10))/30)/12)*MAX(0.4,(1-((0.05*'Benefits Comparison'!C11)*0.1)))</f>
        <v>567.11111111111109</v>
      </c>
    </row>
    <row r="13" spans="1:3" ht="15" thickBot="1" x14ac:dyDescent="0.4">
      <c r="A13" s="36" t="s">
        <v>22</v>
      </c>
    </row>
    <row r="14" spans="1:3" x14ac:dyDescent="0.35">
      <c r="A14" s="3" t="s">
        <v>23</v>
      </c>
      <c r="B14">
        <f>IF('Data Entry'!C7="F",81-65, 76-65)</f>
        <v>11</v>
      </c>
      <c r="C14">
        <f>B14*12</f>
        <v>132</v>
      </c>
    </row>
    <row r="15" spans="1:3" x14ac:dyDescent="0.35">
      <c r="A15" s="3" t="s">
        <v>24</v>
      </c>
      <c r="B15" s="37">
        <f>PV('Data Entry'!F27/12,B14*12,B7,0)</f>
        <v>-186488.55752112513</v>
      </c>
    </row>
    <row r="16" spans="1:3" x14ac:dyDescent="0.35">
      <c r="A16" s="3" t="s">
        <v>25</v>
      </c>
      <c r="B16" s="37">
        <f>PV('Data Entry'!F27/12,'Benefits Comparison'!C11,0,Work!B15)</f>
        <v>48331.143460177453</v>
      </c>
    </row>
    <row r="18" spans="1:3" ht="15" thickBot="1" x14ac:dyDescent="0.4">
      <c r="A18" s="36" t="s">
        <v>26</v>
      </c>
    </row>
    <row r="19" spans="1:3" x14ac:dyDescent="0.35">
      <c r="A19" s="3" t="s">
        <v>23</v>
      </c>
      <c r="B19">
        <f>IF('Data Entry'!C7="F",81-'Benefits Comparison'!C8, 76-'Benefits Comparison'!C8)</f>
        <v>33.56111111111111</v>
      </c>
      <c r="C19">
        <f>B19*12</f>
        <v>402.73333333333335</v>
      </c>
    </row>
    <row r="20" spans="1:3" x14ac:dyDescent="0.35">
      <c r="A20" s="3" t="s">
        <v>25</v>
      </c>
      <c r="B20" s="37">
        <f>PV('Data Entry'!F27/12,B19*12,-B11,0)</f>
        <v>98204.386885860775</v>
      </c>
    </row>
    <row r="21" spans="1:3" x14ac:dyDescent="0.35">
      <c r="A21" s="3" t="s">
        <v>12</v>
      </c>
      <c r="B21">
        <f>1.5*'Benefits Comparison'!G3</f>
        <v>630060</v>
      </c>
    </row>
    <row r="23" spans="1:3" ht="15" thickBot="1" x14ac:dyDescent="0.4">
      <c r="A23" s="36" t="s">
        <v>54</v>
      </c>
    </row>
    <row r="24" spans="1:3" x14ac:dyDescent="0.35">
      <c r="A24" s="65" t="s">
        <v>60</v>
      </c>
      <c r="B24" s="32">
        <f>DAYS360('Data Entry'!G6,'Data Entry'!G7,FALSE)/360</f>
        <v>22</v>
      </c>
    </row>
    <row r="25" spans="1:3" x14ac:dyDescent="0.35">
      <c r="A25" s="66">
        <v>65</v>
      </c>
      <c r="B25" s="32">
        <f>DAYS360('Data Entry'!G6,Work!B1,FALSE)/360</f>
        <v>44.56111111111111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48998-5742-466F-A605-8EA0754DA590}">
  <sheetPr codeName="Sheet1"/>
  <dimension ref="A1:I24"/>
  <sheetViews>
    <sheetView zoomScaleNormal="100" workbookViewId="0">
      <selection activeCell="J21" sqref="J21"/>
    </sheetView>
  </sheetViews>
  <sheetFormatPr defaultRowHeight="14.5" x14ac:dyDescent="0.35"/>
  <cols>
    <col min="2" max="2" width="33.81640625" customWidth="1"/>
    <col min="6" max="6" width="10.81640625" bestFit="1" customWidth="1"/>
    <col min="7" max="7" width="3.36328125" customWidth="1"/>
    <col min="8" max="8" width="10.81640625" bestFit="1" customWidth="1"/>
  </cols>
  <sheetData>
    <row r="1" spans="1:9" ht="15" customHeight="1" x14ac:dyDescent="0.35">
      <c r="A1" s="92" t="s">
        <v>48</v>
      </c>
      <c r="B1" s="92"/>
      <c r="C1" s="92"/>
      <c r="D1" s="92"/>
      <c r="E1" s="92"/>
      <c r="F1" s="92"/>
      <c r="G1" s="92"/>
      <c r="H1" s="92"/>
      <c r="I1" s="92"/>
    </row>
    <row r="2" spans="1:9" ht="15.5" customHeight="1" x14ac:dyDescent="0.35">
      <c r="A2" s="92"/>
      <c r="B2" s="92"/>
      <c r="C2" s="92"/>
      <c r="D2" s="92"/>
      <c r="E2" s="92"/>
      <c r="F2" s="92"/>
      <c r="G2" s="92"/>
      <c r="H2" s="92"/>
      <c r="I2" s="92"/>
    </row>
    <row r="3" spans="1:9" ht="15.5" customHeight="1" thickBot="1" x14ac:dyDescent="0.4">
      <c r="A3" s="93"/>
      <c r="B3" s="93"/>
      <c r="C3" s="93"/>
      <c r="D3" s="93"/>
      <c r="E3" s="93"/>
      <c r="F3" s="93"/>
      <c r="G3" s="93"/>
      <c r="H3" s="93"/>
      <c r="I3" s="93"/>
    </row>
    <row r="4" spans="1:9" ht="15" thickTop="1" x14ac:dyDescent="0.35">
      <c r="A4" s="89" t="s">
        <v>49</v>
      </c>
      <c r="B4" s="89"/>
      <c r="C4" s="89"/>
      <c r="D4" s="89"/>
      <c r="E4" s="89"/>
      <c r="F4" s="89"/>
      <c r="G4" s="89"/>
      <c r="H4" s="89"/>
      <c r="I4" s="89"/>
    </row>
    <row r="5" spans="1:9" x14ac:dyDescent="0.35">
      <c r="A5" s="90"/>
      <c r="B5" s="90"/>
      <c r="C5" s="90"/>
      <c r="D5" s="90"/>
      <c r="E5" s="90"/>
      <c r="F5" s="90"/>
      <c r="G5" s="90"/>
      <c r="H5" s="90"/>
      <c r="I5" s="90"/>
    </row>
    <row r="6" spans="1:9" x14ac:dyDescent="0.35">
      <c r="A6" s="59"/>
      <c r="B6" s="59"/>
      <c r="C6" s="59"/>
      <c r="D6" s="59"/>
      <c r="E6" s="59"/>
      <c r="F6" s="59"/>
      <c r="G6" s="59"/>
      <c r="H6" s="59"/>
      <c r="I6" s="59"/>
    </row>
    <row r="7" spans="1:9" ht="28.5" x14ac:dyDescent="0.35">
      <c r="A7" s="59"/>
      <c r="B7" s="61" t="s">
        <v>50</v>
      </c>
      <c r="C7" s="62"/>
      <c r="D7" s="62"/>
      <c r="E7" s="62"/>
      <c r="F7" s="91">
        <f>'Data Entry'!C22</f>
        <v>420040</v>
      </c>
      <c r="G7" s="91"/>
      <c r="H7" s="91"/>
      <c r="I7" s="59"/>
    </row>
    <row r="8" spans="1:9" ht="15" thickBot="1" x14ac:dyDescent="0.4">
      <c r="A8" s="59"/>
      <c r="B8" s="62"/>
      <c r="C8" s="62"/>
      <c r="D8" s="62"/>
      <c r="E8" s="62"/>
      <c r="F8" s="75" t="s">
        <v>2</v>
      </c>
      <c r="G8" s="62"/>
      <c r="H8" s="75" t="s">
        <v>3</v>
      </c>
      <c r="I8" s="59"/>
    </row>
    <row r="9" spans="1:9" x14ac:dyDescent="0.35">
      <c r="A9" s="59"/>
      <c r="B9" s="62" t="s">
        <v>51</v>
      </c>
      <c r="C9" s="62"/>
      <c r="D9" s="62"/>
      <c r="E9" s="62"/>
      <c r="F9" s="59"/>
      <c r="G9" s="64"/>
      <c r="H9" s="64"/>
      <c r="I9" s="59"/>
    </row>
    <row r="10" spans="1:9" x14ac:dyDescent="0.35">
      <c r="A10" s="59"/>
      <c r="B10" s="62" t="s">
        <v>53</v>
      </c>
      <c r="C10" s="62"/>
      <c r="D10" s="62"/>
      <c r="E10" s="62"/>
      <c r="F10" s="64">
        <f>'Benefits Comparison'!C8</f>
        <v>42.43888888888889</v>
      </c>
      <c r="G10" s="64"/>
      <c r="H10" s="64">
        <f>'Benefits Comparison'!G8</f>
        <v>65</v>
      </c>
      <c r="I10" s="59"/>
    </row>
    <row r="11" spans="1:9" x14ac:dyDescent="0.35">
      <c r="A11" s="59"/>
      <c r="B11" s="62" t="s">
        <v>52</v>
      </c>
      <c r="C11" s="62"/>
      <c r="D11" s="62"/>
      <c r="E11" s="62"/>
      <c r="F11" s="64">
        <f>'Benefits Comparison'!C9</f>
        <v>40.697222222222223</v>
      </c>
      <c r="G11" s="64"/>
      <c r="H11" s="64">
        <f>'Benefits Comparison'!G9</f>
        <v>63.258333333333333</v>
      </c>
      <c r="I11" s="59"/>
    </row>
    <row r="12" spans="1:9" x14ac:dyDescent="0.35">
      <c r="A12" s="59"/>
      <c r="B12" s="62" t="s">
        <v>54</v>
      </c>
      <c r="C12" s="62"/>
      <c r="D12" s="62"/>
      <c r="E12" s="62"/>
      <c r="F12" s="64">
        <f>Work!B24</f>
        <v>22</v>
      </c>
      <c r="G12" s="64"/>
      <c r="H12" s="64">
        <f>Work!B25</f>
        <v>44.56111111111111</v>
      </c>
      <c r="I12" s="59"/>
    </row>
    <row r="13" spans="1:9" x14ac:dyDescent="0.35">
      <c r="A13" s="59"/>
      <c r="B13" s="62" t="s">
        <v>55</v>
      </c>
      <c r="C13" s="62"/>
      <c r="D13" s="62"/>
      <c r="E13" s="62"/>
      <c r="F13" s="64">
        <f>'Benefits Comparison'!C10</f>
        <v>22</v>
      </c>
      <c r="G13" s="64"/>
      <c r="H13" s="64">
        <f>'Benefits Comparison'!G10</f>
        <v>30</v>
      </c>
      <c r="I13" s="59"/>
    </row>
    <row r="14" spans="1:9" x14ac:dyDescent="0.35">
      <c r="A14" s="59"/>
      <c r="B14" s="62" t="s">
        <v>56</v>
      </c>
      <c r="C14" s="62"/>
      <c r="D14" s="62"/>
      <c r="E14" s="62"/>
      <c r="F14" s="64">
        <f>'Benefits Comparison'!C11</f>
        <v>270.73333333333335</v>
      </c>
      <c r="G14" s="64"/>
      <c r="H14" s="64">
        <f>'Benefits Comparison'!G11</f>
        <v>0</v>
      </c>
      <c r="I14" s="59"/>
    </row>
    <row r="15" spans="1:9" x14ac:dyDescent="0.35">
      <c r="A15" s="59"/>
      <c r="B15" s="62" t="s">
        <v>57</v>
      </c>
      <c r="C15" s="62"/>
      <c r="D15" s="62"/>
      <c r="E15" s="62"/>
      <c r="F15" s="63">
        <f>Work!B10</f>
        <v>29000</v>
      </c>
      <c r="G15" s="63"/>
      <c r="H15" s="63">
        <f>Work!B6</f>
        <v>29000</v>
      </c>
      <c r="I15" s="59"/>
    </row>
    <row r="16" spans="1:9" x14ac:dyDescent="0.35">
      <c r="A16" s="59"/>
      <c r="B16" s="62" t="s">
        <v>10</v>
      </c>
      <c r="C16" s="62"/>
      <c r="D16" s="62"/>
      <c r="E16" s="62"/>
      <c r="F16" s="63">
        <f>'Benefits Comparison'!C15</f>
        <v>567.11111111111109</v>
      </c>
      <c r="G16" s="63"/>
      <c r="H16" s="63">
        <f>'Benefits Comparison'!G15</f>
        <v>1933.3333333333333</v>
      </c>
      <c r="I16" s="59"/>
    </row>
    <row r="17" spans="1:9" x14ac:dyDescent="0.35">
      <c r="A17" s="59"/>
      <c r="B17" s="62" t="s">
        <v>58</v>
      </c>
      <c r="C17" s="62"/>
      <c r="D17" s="62"/>
      <c r="E17" s="62"/>
      <c r="F17" s="63">
        <f>'Benefits Comparison'!C17</f>
        <v>98204.386885860775</v>
      </c>
      <c r="G17" s="63"/>
      <c r="H17" s="63">
        <f>'Benefits Comparison'!G17</f>
        <v>48331.143460177453</v>
      </c>
      <c r="I17" s="59"/>
    </row>
    <row r="18" spans="1:9" x14ac:dyDescent="0.35">
      <c r="A18" s="59"/>
      <c r="B18" s="62" t="s">
        <v>59</v>
      </c>
      <c r="C18" s="62"/>
      <c r="D18" s="62"/>
      <c r="E18" s="62"/>
      <c r="F18" s="63">
        <f>'Benefits Comparison'!C18</f>
        <v>630060</v>
      </c>
      <c r="G18" s="63"/>
      <c r="H18" s="63"/>
      <c r="I18" s="59"/>
    </row>
    <row r="19" spans="1:9" x14ac:dyDescent="0.35">
      <c r="A19" s="59"/>
      <c r="B19" s="62" t="s">
        <v>13</v>
      </c>
      <c r="C19" s="62"/>
      <c r="D19" s="62"/>
      <c r="E19" s="62"/>
      <c r="F19" s="63">
        <f>'Benefits Comparison'!C19</f>
        <v>728264.38688586082</v>
      </c>
      <c r="G19" s="63"/>
      <c r="H19" s="63"/>
      <c r="I19" s="59"/>
    </row>
    <row r="20" spans="1:9" x14ac:dyDescent="0.35">
      <c r="A20" s="59"/>
      <c r="B20" s="62"/>
      <c r="C20" s="62"/>
      <c r="D20" s="62"/>
      <c r="E20" s="62"/>
      <c r="F20" s="62"/>
      <c r="G20" s="62"/>
      <c r="H20" s="62"/>
      <c r="I20" s="59"/>
    </row>
    <row r="21" spans="1:9" x14ac:dyDescent="0.35">
      <c r="A21" s="59"/>
      <c r="B21" s="62"/>
      <c r="C21" s="62"/>
      <c r="D21" s="62"/>
      <c r="E21" s="62"/>
      <c r="F21" s="62"/>
      <c r="G21" s="62"/>
      <c r="H21" s="62"/>
      <c r="I21" s="59"/>
    </row>
    <row r="22" spans="1:9" x14ac:dyDescent="0.35">
      <c r="A22" s="59"/>
      <c r="B22" s="62"/>
      <c r="C22" s="62"/>
      <c r="D22" s="62"/>
      <c r="E22" s="62"/>
      <c r="F22" s="62"/>
      <c r="G22" s="62"/>
      <c r="H22" s="62"/>
      <c r="I22" s="59"/>
    </row>
    <row r="23" spans="1:9" x14ac:dyDescent="0.35">
      <c r="A23" s="59"/>
      <c r="B23" s="62"/>
      <c r="C23" s="62"/>
      <c r="D23" s="62"/>
      <c r="E23" s="62"/>
      <c r="F23" s="62"/>
      <c r="G23" s="62"/>
      <c r="H23" s="62"/>
      <c r="I23" s="59"/>
    </row>
    <row r="24" spans="1:9" x14ac:dyDescent="0.35">
      <c r="A24" s="59"/>
      <c r="B24" s="59"/>
      <c r="C24" s="59"/>
      <c r="D24" s="59"/>
      <c r="E24" s="59"/>
      <c r="F24" s="59"/>
      <c r="G24" s="59"/>
      <c r="H24" s="59"/>
      <c r="I24" s="59"/>
    </row>
  </sheetData>
  <mergeCells count="3">
    <mergeCell ref="A4:I5"/>
    <mergeCell ref="F7:H7"/>
    <mergeCell ref="A1:I3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nclusionButton">
          <controlPr defaultSize="0" autoLine="0" r:id="rId5">
            <anchor moveWithCells="1">
              <from>
                <xdr:col>1</xdr:col>
                <xdr:colOff>1866900</xdr:colOff>
                <xdr:row>21</xdr:row>
                <xdr:rowOff>6350</xdr:rowOff>
              </from>
              <to>
                <xdr:col>4</xdr:col>
                <xdr:colOff>565150</xdr:colOff>
                <xdr:row>22</xdr:row>
                <xdr:rowOff>177800</xdr:rowOff>
              </to>
            </anchor>
          </controlPr>
        </control>
      </mc:Choice>
      <mc:Fallback>
        <control shapeId="1025" r:id="rId4" name="Conclusion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Introduction</vt:lpstr>
      <vt:lpstr>Data Entry</vt:lpstr>
      <vt:lpstr>Benefits Comparison</vt:lpstr>
      <vt:lpstr>Work</vt:lpstr>
      <vt:lpstr>Conclusion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Corcoran</dc:creator>
  <cp:lastModifiedBy>David Corcoran</cp:lastModifiedBy>
  <dcterms:created xsi:type="dcterms:W3CDTF">2020-06-07T23:24:16Z</dcterms:created>
  <dcterms:modified xsi:type="dcterms:W3CDTF">2020-06-12T20:39:23Z</dcterms:modified>
</cp:coreProperties>
</file>